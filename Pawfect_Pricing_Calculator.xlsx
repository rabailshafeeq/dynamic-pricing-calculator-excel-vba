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Receipt" sheetId="2" state="visible" r:id="rId4"/>
    <sheet name="Pricing Calculator" sheetId="3" state="visible" r:id="rId5"/>
    <sheet name="Booking Log" sheetId="4" state="visible" r:id="rId6"/>
    <sheet name="Data" sheetId="5" state="visible" r:id="rId7"/>
  </sheets>
  <definedNames>
    <definedName function="false" hidden="false" localSheetId="1" name="_xlnm.Print_Area" vbProcedure="false">Receipt!$A$1:$E$29</definedName>
    <definedName function="false" hidden="false" name="BreedList" vbProcedure="false">Data!$A$118:$A$314</definedName>
    <definedName function="false" hidden="false" name="CatServiceList" vbProcedure="false">Data!$A$109:$A$113</definedName>
    <definedName function="false" hidden="false" name="CoatHairTypeList" vbProcedure="false">Data!$J$2:$J$210</definedName>
    <definedName function="false" hidden="false" name="DeMattingList" vbProcedure="false">Data!$A$82:$A$85</definedName>
    <definedName function="false" hidden="false" name="SizeList" vbProcedure="false">Data!$A$27:$A$31</definedName>
    <definedName function="false" hidden="false" name="StandardServiceList" vbProcedure="false">Data!$A$42:$A$45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<sst xmlns="http://schemas.openxmlformats.org/spreadsheetml/2006/main" count="924" uniqueCount="472">
  <si>
    <t xml:space="preserve">How to Use This Pricing Calculator</t>
  </si>
  <si>
    <t xml:space="preserve">1. Getting a Quote</t>
  </si>
  <si>
    <t xml:space="preserve">•  Go to the Pricing Calculator tab.</t>
  </si>
  <si>
    <t xml:space="preserve">•  Enter the Pet Name at the top of Pet Information - this is what gets saved to the Booking Log if you use the Save button (see section 6).</t>
  </si>
  <si>
    <t xml:space="preserve">•  Select Species, Coat/Hair Type, Size, and whether the pet is a senior.</t>
  </si>
  <si>
    <t xml:space="preserve">•  Optionally type the breed if known — this strengthens safety warnings (see below).</t>
  </si>
  <si>
    <t xml:space="preserve">•  For dogs, optionally pick a Standard Service (Profile Cut, Puppy Cut, Shave Down, or Deshedding). Standard Services are not available for cats.</t>
  </si>
  <si>
    <t xml:space="preserve">•  Check off any Premium Add-Ons the customer wants.</t>
  </si>
  <si>
    <t xml:space="preserve">•  If needed, select a De-Matting time bracket, a Discount, or the Seasonal Holiday Package.</t>
  </si>
  <si>
    <t xml:space="preserve">•  The Total Price and Estimated Groom Time update automatically at the bottom right.</t>
  </si>
  <si>
    <t xml:space="preserve">2. Safety Reminders</t>
  </si>
  <si>
    <t xml:space="preserve">•  If Shave Down is selected on a coat type where it's not recommended, a warning appears automatically.</t>
  </si>
  <si>
    <t xml:space="preserve">•  For Huskies specifically: type 'Husky' in the Breed field to get a strong warning that blocks Shave Down entirely — Huskies should only ever get a light tidy (Profile Cut).</t>
  </si>
  <si>
    <t xml:space="preserve">•  If a cat has a Standard Service selected by mistake, a warning will appear and no fee will be charged for it — just clear that selection.</t>
  </si>
  <si>
    <t xml:space="preserve">3. Clients With Multiple Pets</t>
  </si>
  <si>
    <t xml:space="preserve">•  This tool calculates one pet per quote. If a client is booking for both a dog and a cat (or multiple pets), run the calculator once per pet and note both totals.</t>
  </si>
  <si>
    <t xml:space="preserve">•  In the Booking Log, add one row per pet under the same client name and date, so you can still see the full appointment at a glance.</t>
  </si>
  <si>
    <t xml:space="preserve">4. Logging a Booking (Manual)</t>
  </si>
  <si>
    <t xml:space="preserve">•  Once a quote is finalized and the customer books, go to the Booking Log tab.</t>
  </si>
  <si>
    <t xml:space="preserve">•  Add a new row with the date, client name, pet name, and the details from the quote.</t>
  </si>
  <si>
    <t xml:space="preserve">•  Mark Paid as Yes or No — the row will tint green (paid) or red (unpaid) automatically.</t>
  </si>
  <si>
    <t xml:space="preserve">•  The Quick Summary at the bottom tracks your total bookings and revenue automatically.</t>
  </si>
  <si>
    <t xml:space="preserve">5. How to Change Prices (Most Important Section)</t>
  </si>
  <si>
    <t xml:space="preserve">All prices live on the Data tab. You do NOT need the password to edit prices — the Data tab is intentionally left unlocked so you can update it anytime. Here's exactly where everything is:</t>
  </si>
  <si>
    <t xml:space="preserve">Dog base groom price</t>
  </si>
  <si>
    <t xml:space="preserve">     Where: Data tab, cell B2</t>
  </si>
  <si>
    <t xml:space="preserve">     Currently $113. This is the starting price before any coat/size adjustments.</t>
  </si>
  <si>
    <t xml:space="preserve">Cat base groom price</t>
  </si>
  <si>
    <t xml:space="preserve">     Where: Data tab, cell E2</t>
  </si>
  <si>
    <t xml:space="preserve">     Currently $120.</t>
  </si>
  <si>
    <t xml:space="preserve">Dog coat type multipliers</t>
  </si>
  <si>
    <t xml:space="preserve">     Where: Data tab, rows 7–16</t>
  </si>
  <si>
    <t xml:space="preserve">     Each coat type has a multiplier (e.g. 1.20 for Long Double Coat). Change the number in column B next to any coat type.</t>
  </si>
  <si>
    <t xml:space="preserve">Cat hair type multipliers</t>
  </si>
  <si>
    <t xml:space="preserve">     Where: Data tab, rows 21–22</t>
  </si>
  <si>
    <t xml:space="preserve">     Short Hair and Long Hair multipliers.</t>
  </si>
  <si>
    <t xml:space="preserve">Size multipliers</t>
  </si>
  <si>
    <t xml:space="preserve">     Where: Data tab, rows 27–31</t>
  </si>
  <si>
    <t xml:space="preserve">     Small through XXL multipliers, column C.</t>
  </si>
  <si>
    <t xml:space="preserve">Age surcharge amount</t>
  </si>
  <si>
    <t xml:space="preserve">     Where: Data tab, rows 36–37</t>
  </si>
  <si>
    <t xml:space="preserve">     The flat $ add-on for senior dogs and cats.</t>
  </si>
  <si>
    <t xml:space="preserve">Standard Service base price</t>
  </si>
  <si>
    <t xml:space="preserve">     Where: Data tab, cell H1</t>
  </si>
  <si>
    <t xml:space="preserve">     Currently $22 — this is the starting price for Profile Cut, Puppy Cut, Shave Down, and Deshedding before the coat multiplier is applied.</t>
  </si>
  <si>
    <t xml:space="preserve">Profile Cut's extra $7</t>
  </si>
  <si>
    <t xml:space="preserve">     Where: Built into the formula</t>
  </si>
  <si>
    <t xml:space="preserve">     Profile Cut is automatically priced at $7 more than Shave Down. To change this amount, ask for a formula update rather than editing a cell directly.</t>
  </si>
  <si>
    <t xml:space="preserve">Premium Add-On fees</t>
  </si>
  <si>
    <t xml:space="preserve">     Where: Data tab, rows 60–77</t>
  </si>
  <si>
    <t xml:space="preserve">     Each add-on's price is in column B next to its name. Just type a new number.</t>
  </si>
  <si>
    <t xml:space="preserve">Add-on time (minutes)</t>
  </si>
  <si>
    <t xml:space="preserve">     Where: Data tab, column C, rows 60–77</t>
  </si>
  <si>
    <t xml:space="preserve">     How many minutes each add-on adds to the appointment — currently 15 for all of them.</t>
  </si>
  <si>
    <t xml:space="preserve">De-Matting fees &amp; time</t>
  </si>
  <si>
    <t xml:space="preserve">     Where: Data tab, rows 82–85</t>
  </si>
  <si>
    <t xml:space="preserve">     Cost in column B, minutes added in column C, by time bracket.</t>
  </si>
  <si>
    <t xml:space="preserve">Seasonal Holiday Package price</t>
  </si>
  <si>
    <t xml:space="preserve">     Where: Data tab, cell B90</t>
  </si>
  <si>
    <t xml:space="preserve">     Currently $25. Update this anytime you run a new seasonal special.</t>
  </si>
  <si>
    <t xml:space="preserve">⚠ Important: Just type over the existing number — don't delete the cell or change the layout. The Pricing Calculator and Booking Log tabs are locked so formulas can't be accidentally broken, but the Data tab is deliberately left open for exactly this kind of update.</t>
  </si>
  <si>
    <t xml:space="preserve">6. One-Click Save to Booking Log (Optional Setup)</t>
  </si>
  <si>
    <t xml:space="preserve">•  By default, logging a booking is manual (see section 4). If you'd like a one-click 'Save to Booking Log' button that automatically pulls in the Client Name, Pet Name, and full quote details, this requires a small one-time setup in Excel (adding a macro).</t>
  </si>
  <si>
    <t xml:space="preserve">•  Ask your developer for the setup guide - it's a 5-10 minute process done once, and after that the button works every time you open the file.</t>
  </si>
  <si>
    <t xml:space="preserve">7. Updating the Password</t>
  </si>
  <si>
    <t xml:space="preserve">•  The password for the Pricing Calculator and Booking Log tabs is listed on the Data tab near the bottom (look for the 🔒 section).</t>
  </si>
  <si>
    <t xml:space="preserve">•  To change it: Review tab → Unprotect Sheet (enter current password) → make any edits → Review tab → Protect Sheet → set a new password.</t>
  </si>
  <si>
    <t xml:space="preserve">8. Known Limitations</t>
  </si>
  <si>
    <t xml:space="preserve">•  Cat coat multipliers, groom-time rules, and Profile Cut eligibility are based on coat type categories, not individual breeds — some judgment may still be needed for unusual cases.</t>
  </si>
  <si>
    <t xml:space="preserve">•  Groom time estimates are based on general rules (base time + add-ons) and may vary for individual pets — use the 'Add extra time?' toggle if a specific appointment runs long.</t>
  </si>
  <si>
    <t xml:space="preserve">Pawfect Mobile Grooming</t>
  </si>
  <si>
    <t xml:space="preserve">Grooming Receipt</t>
  </si>
  <si>
    <t xml:space="preserve">Date:</t>
  </si>
  <si>
    <t xml:space="preserve">CLIENT &amp; PET DETAILS</t>
  </si>
  <si>
    <t xml:space="preserve">Pet Name:</t>
  </si>
  <si>
    <t xml:space="preserve">Species:</t>
  </si>
  <si>
    <t xml:space="preserve">Coat Type / Breed:</t>
  </si>
  <si>
    <t xml:space="preserve">Size:</t>
  </si>
  <si>
    <t xml:space="preserve">Senior Pet:</t>
  </si>
  <si>
    <t xml:space="preserve">SERVICE SUMMARY</t>
  </si>
  <si>
    <t xml:space="preserve">Item</t>
  </si>
  <si>
    <t xml:space="preserve">Amount</t>
  </si>
  <si>
    <t xml:space="preserve">Base Groom</t>
  </si>
  <si>
    <t xml:space="preserve">Age Surcharge</t>
  </si>
  <si>
    <t xml:space="preserve">Standard/Cat Service</t>
  </si>
  <si>
    <t xml:space="preserve">Premium Add-Ons</t>
  </si>
  <si>
    <t xml:space="preserve">De-Matting</t>
  </si>
  <si>
    <t xml:space="preserve">Seasonal Holiday Package</t>
  </si>
  <si>
    <t xml:space="preserve">Discount Applied</t>
  </si>
  <si>
    <t xml:space="preserve">TOTAL PRICE</t>
  </si>
  <si>
    <t xml:space="preserve">Estimated Groom Time:</t>
  </si>
  <si>
    <t xml:space="preserve">Thank you for choosing Pawfect! 🐾</t>
  </si>
  <si>
    <t xml:space="preserve">PRICING CALCULATOR</t>
  </si>
  <si>
    <t xml:space="preserve">🐶</t>
  </si>
  <si>
    <t xml:space="preserve">❤️</t>
  </si>
  <si>
    <t xml:space="preserve">🛁</t>
  </si>
  <si>
    <t xml:space="preserve">🐾  1. PET INFORMATION</t>
  </si>
  <si>
    <t xml:space="preserve">📋  5. PRICING SUMMARY</t>
  </si>
  <si>
    <t xml:space="preserve">Species (Dog/Cat)</t>
  </si>
  <si>
    <t xml:space="preserve">Pet Name</t>
  </si>
  <si>
    <t xml:space="preserve">Details</t>
  </si>
  <si>
    <t xml:space="preserve">Time (min)</t>
  </si>
  <si>
    <t xml:space="preserve">Base Groom Price</t>
  </si>
  <si>
    <t xml:space="preserve">Size</t>
  </si>
  <si>
    <t xml:space="preserve">Age Surcharge (Base Groom)</t>
  </si>
  <si>
    <t xml:space="preserve">Senior Pet? (10+ dog / 12+ cat)</t>
  </si>
  <si>
    <t xml:space="preserve">Standard Service Fee</t>
  </si>
  <si>
    <t xml:space="preserve">✂️  2. SERVICE SELECTION</t>
  </si>
  <si>
    <t xml:space="preserve">Base Total</t>
  </si>
  <si>
    <t xml:space="preserve">Standard Service (optional)</t>
  </si>
  <si>
    <t xml:space="preserve">Add-Ons Total</t>
  </si>
  <si>
    <t xml:space="preserve">De-Matting Estimate</t>
  </si>
  <si>
    <t xml:space="preserve">Cat Service (optional)</t>
  </si>
  <si>
    <t xml:space="preserve">➕  3. PREMIUM ADD-ONS</t>
  </si>
  <si>
    <t xml:space="preserve">Subtotal</t>
  </si>
  <si>
    <t xml:space="preserve">Select</t>
  </si>
  <si>
    <t xml:space="preserve">Add-On Service</t>
  </si>
  <si>
    <t xml:space="preserve">Fee</t>
  </si>
  <si>
    <t xml:space="preserve">Time</t>
  </si>
  <si>
    <t xml:space="preserve">📋 TOTAL PRICE</t>
  </si>
  <si>
    <t xml:space="preserve">🕐 ESTIMATED GROOM TIME</t>
  </si>
  <si>
    <t xml:space="preserve">De-Matting (if needed)</t>
  </si>
  <si>
    <t xml:space="preserve">Add extra time? (groomer judgment, +30 min)</t>
  </si>
  <si>
    <t xml:space="preserve">No</t>
  </si>
  <si>
    <t xml:space="preserve">🏷️  4. DISCOUNT</t>
  </si>
  <si>
    <t xml:space="preserve">Discount Type</t>
  </si>
  <si>
    <t xml:space="preserve">Percentage</t>
  </si>
  <si>
    <t xml:space="preserve">Discount Value</t>
  </si>
  <si>
    <t xml:space="preserve">Apply Seasonal Holiday Package?</t>
  </si>
  <si>
    <t xml:space="preserve">🐾 Open items pending client confirmation: cat base groom time, whether age surcharge applies to Premium Add-ons too, final Profile Cut coat-type list + Husky exception, and Seasonal Holiday Package price (currently $0 — update on Data tab once received).</t>
  </si>
  <si>
    <t xml:space="preserve">Booking Log</t>
  </si>
  <si>
    <t xml:space="preserve">Add one row per confirmed appointment. This becomes your running record of bookings and revenue.</t>
  </si>
  <si>
    <t xml:space="preserve">Date</t>
  </si>
  <si>
    <t xml:space="preserve">Client Name</t>
  </si>
  <si>
    <t xml:space="preserve">Species</t>
  </si>
  <si>
    <t xml:space="preserve">Coat / Hair Type</t>
  </si>
  <si>
    <t xml:space="preserve">Standard Service</t>
  </si>
  <si>
    <t xml:space="preserve">Add-Ons</t>
  </si>
  <si>
    <t xml:space="preserve">Discount</t>
  </si>
  <si>
    <t xml:space="preserve">Total Price</t>
  </si>
  <si>
    <t xml:space="preserve">Paid (Y/N)</t>
  </si>
  <si>
    <t xml:space="preserve">Notes</t>
  </si>
  <si>
    <t xml:space="preserve">2026-09-05</t>
  </si>
  <si>
    <t xml:space="preserve">Sarah Malik</t>
  </si>
  <si>
    <t xml:space="preserve">Bella</t>
  </si>
  <si>
    <t xml:space="preserve">Dog</t>
  </si>
  <si>
    <t xml:space="preserve">Long Double Coat</t>
  </si>
  <si>
    <t xml:space="preserve">Large</t>
  </si>
  <si>
    <t xml:space="preserve">Profile Cut</t>
  </si>
  <si>
    <t xml:space="preserve">Hot Aloe SPA Treatment</t>
  </si>
  <si>
    <t xml:space="preserve">10%</t>
  </si>
  <si>
    <t xml:space="preserve">Yes</t>
  </si>
  <si>
    <t xml:space="preserve">Regular client, every 6 weeks</t>
  </si>
  <si>
    <t xml:space="preserve">2026-09-06</t>
  </si>
  <si>
    <t xml:space="preserve">James Cole</t>
  </si>
  <si>
    <t xml:space="preserve">Rocky</t>
  </si>
  <si>
    <t xml:space="preserve">Smooth Coat</t>
  </si>
  <si>
    <t xml:space="preserve">0%</t>
  </si>
  <si>
    <t xml:space="preserve">2026-09-08</t>
  </si>
  <si>
    <t xml:space="preserve">Aisha Raza</t>
  </si>
  <si>
    <t xml:space="preserve">Coco</t>
  </si>
  <si>
    <t xml:space="preserve">Doodle / Mixed Wool Coat</t>
  </si>
  <si>
    <t xml:space="preserve">De-Shedding Treatment</t>
  </si>
  <si>
    <t xml:space="preserve">Invoice sent, awaiting payment</t>
  </si>
  <si>
    <t xml:space="preserve">2026-09-09</t>
  </si>
  <si>
    <t xml:space="preserve">Tom Reed</t>
  </si>
  <si>
    <t xml:space="preserve">Max</t>
  </si>
  <si>
    <t xml:space="preserve">Cat</t>
  </si>
  <si>
    <t xml:space="preserve">Long Hair</t>
  </si>
  <si>
    <t xml:space="preserve">Small</t>
  </si>
  <si>
    <t xml:space="preserve">Nail Trim - Extra (Cat)</t>
  </si>
  <si>
    <t xml:space="preserve">Senior cat, +$6 surcharge applied</t>
  </si>
  <si>
    <t xml:space="preserve">2026-09-10</t>
  </si>
  <si>
    <t xml:space="preserve">Linda Cruz</t>
  </si>
  <si>
    <t xml:space="preserve">Milo</t>
  </si>
  <si>
    <t xml:space="preserve">Short Double Coat</t>
  </si>
  <si>
    <t xml:space="preserve">15%</t>
  </si>
  <si>
    <t xml:space="preserve">Quick Summary</t>
  </si>
  <si>
    <t xml:space="preserve">Total Bookings</t>
  </si>
  <si>
    <t xml:space="preserve">Total Revenue (All)</t>
  </si>
  <si>
    <t xml:space="preserve">Revenue Collected (Paid = Y)</t>
  </si>
  <si>
    <t xml:space="preserve">Outstanding (Paid = N)</t>
  </si>
  <si>
    <t xml:space="preserve">REFERENCE DATA (sample figures for demo purposes)</t>
  </si>
  <si>
    <t xml:space="preserve">Standard Service Base Price:</t>
  </si>
  <si>
    <t xml:space="preserve">Dog Base Groom Price:</t>
  </si>
  <si>
    <t xml:space="preserve">Cat Base Groom Price:</t>
  </si>
  <si>
    <t xml:space="preserve">Affenpinscher</t>
  </si>
  <si>
    <t xml:space="preserve">Dog Base Groom Time (flat, all coat types):</t>
  </si>
  <si>
    <t xml:space="preserve">Cat Base Groom Time:</t>
  </si>
  <si>
    <t xml:space="preserve">Afghan</t>
  </si>
  <si>
    <t xml:space="preserve">Airedale Terrier</t>
  </si>
  <si>
    <t xml:space="preserve">DOG COAT TYPES</t>
  </si>
  <si>
    <t xml:space="preserve">Akita</t>
  </si>
  <si>
    <t xml:space="preserve">Coat Type</t>
  </si>
  <si>
    <t xml:space="preserve">Multiplier</t>
  </si>
  <si>
    <t xml:space="preserve">Alaskan Malamute</t>
  </si>
  <si>
    <t xml:space="preserve">Hairless</t>
  </si>
  <si>
    <t xml:space="preserve">American Eskimo</t>
  </si>
  <si>
    <t xml:space="preserve">American Eskimo Miniature</t>
  </si>
  <si>
    <t xml:space="preserve">American Pit Bull Terrier</t>
  </si>
  <si>
    <t xml:space="preserve">Wire Coat</t>
  </si>
  <si>
    <t xml:space="preserve">American Staffordshire Terrier</t>
  </si>
  <si>
    <t xml:space="preserve">Silky / Drop Coat</t>
  </si>
  <si>
    <t xml:space="preserve">American Stratford Terrier</t>
  </si>
  <si>
    <t xml:space="preserve">Long Feathered Sporting / Spaniel Coat</t>
  </si>
  <si>
    <t xml:space="preserve">Anatolian Shepherd</t>
  </si>
  <si>
    <t xml:space="preserve">Curly / Wool Coat</t>
  </si>
  <si>
    <t xml:space="preserve">Aussiedoodle</t>
  </si>
  <si>
    <t xml:space="preserve">Single-layered Curly/Woolly Coat</t>
  </si>
  <si>
    <t xml:space="preserve">Australian (American) Shepherd Miniature</t>
  </si>
  <si>
    <t xml:space="preserve">Australian Shepherd</t>
  </si>
  <si>
    <t xml:space="preserve">Australian Terrier</t>
  </si>
  <si>
    <t xml:space="preserve">Basenji</t>
  </si>
  <si>
    <t xml:space="preserve">Basset Hound</t>
  </si>
  <si>
    <t xml:space="preserve">CAT HAIR TYPES</t>
  </si>
  <si>
    <t xml:space="preserve">Beagle</t>
  </si>
  <si>
    <t xml:space="preserve">Hair Type</t>
  </si>
  <si>
    <t xml:space="preserve">Bearded Collie</t>
  </si>
  <si>
    <t xml:space="preserve">Short Hair</t>
  </si>
  <si>
    <t xml:space="preserve">Bedlington Terrier</t>
  </si>
  <si>
    <t xml:space="preserve">Belgian Malinois</t>
  </si>
  <si>
    <t xml:space="preserve">Belgian Shepherd (AKA Sheepdog)</t>
  </si>
  <si>
    <t xml:space="preserve">Bernese Mountain Dog</t>
  </si>
  <si>
    <t xml:space="preserve">SIZES</t>
  </si>
  <si>
    <t xml:space="preserve">Bernie Doodle</t>
  </si>
  <si>
    <t xml:space="preserve">Weight Range</t>
  </si>
  <si>
    <t xml:space="preserve">Bichon Frise</t>
  </si>
  <si>
    <t xml:space="preserve">Small (0-20 lbs)</t>
  </si>
  <si>
    <t xml:space="preserve">0-20 lbs</t>
  </si>
  <si>
    <t xml:space="preserve">Bichpoo</t>
  </si>
  <si>
    <t xml:space="preserve">Medium (21-35 lbs)</t>
  </si>
  <si>
    <t xml:space="preserve">21-35 lbs</t>
  </si>
  <si>
    <t xml:space="preserve">Bikki Bear</t>
  </si>
  <si>
    <t xml:space="preserve">Large (36-85 lbs)</t>
  </si>
  <si>
    <t xml:space="preserve">36-85 lbs</t>
  </si>
  <si>
    <t xml:space="preserve">Black Russian Terrier</t>
  </si>
  <si>
    <t xml:space="preserve">Extra Large (86-100 lbs)</t>
  </si>
  <si>
    <t xml:space="preserve">86-100 lbs</t>
  </si>
  <si>
    <t xml:space="preserve">Bloodhound</t>
  </si>
  <si>
    <t xml:space="preserve">XXL (101 lbs+)</t>
  </si>
  <si>
    <t xml:space="preserve">101 lbs+</t>
  </si>
  <si>
    <t xml:space="preserve">Blue Heeler</t>
  </si>
  <si>
    <t xml:space="preserve">Bolognese</t>
  </si>
  <si>
    <t xml:space="preserve">Border Collie</t>
  </si>
  <si>
    <t xml:space="preserve">AGE SURCHARGE (flat fee, applies per service)</t>
  </si>
  <si>
    <t xml:space="preserve">Border Terrier</t>
  </si>
  <si>
    <t xml:space="preserve">Condition</t>
  </si>
  <si>
    <t xml:space="preserve">Add-On Fee</t>
  </si>
  <si>
    <t xml:space="preserve">Borzoi</t>
  </si>
  <si>
    <t xml:space="preserve">Dog, 10 years or older</t>
  </si>
  <si>
    <t xml:space="preserve">Boston Terrier</t>
  </si>
  <si>
    <t xml:space="preserve">Cat, 12 years or older</t>
  </si>
  <si>
    <t xml:space="preserve">Bouvier de Flandres</t>
  </si>
  <si>
    <t xml:space="preserve">Boxer</t>
  </si>
  <si>
    <t xml:space="preserve">Boykin Spaniel</t>
  </si>
  <si>
    <t xml:space="preserve">STANDARD SERVICES  (base $22, coat-type multiplier applies, rounded to nearest $ — confirmed)</t>
  </si>
  <si>
    <t xml:space="preserve">Briard</t>
  </si>
  <si>
    <t xml:space="preserve">Service</t>
  </si>
  <si>
    <t xml:space="preserve">Brittany Spaniel</t>
  </si>
  <si>
    <t xml:space="preserve">Brussels Griffon</t>
  </si>
  <si>
    <t xml:space="preserve">Puppy Cut</t>
  </si>
  <si>
    <t xml:space="preserve">Bull Terrier</t>
  </si>
  <si>
    <t xml:space="preserve">Shave Down</t>
  </si>
  <si>
    <t xml:space="preserve">Bulldog American</t>
  </si>
  <si>
    <t xml:space="preserve">Deshedding Service</t>
  </si>
  <si>
    <t xml:space="preserve">Bullmastiff</t>
  </si>
  <si>
    <t xml:space="preserve">Cairn Terrier</t>
  </si>
  <si>
    <t xml:space="preserve">Cane Corso</t>
  </si>
  <si>
    <t xml:space="preserve">⚠ COAT TYPES REQUIRING PROFILE CUT (Shave Down unsafe) — interim list, pending final confirmation</t>
  </si>
  <si>
    <t xml:space="preserve">Catahoula Cur</t>
  </si>
  <si>
    <t xml:space="preserve">Cattle Dog</t>
  </si>
  <si>
    <t xml:space="preserve">Caucasian Shepherd</t>
  </si>
  <si>
    <t xml:space="preserve">Cavachon</t>
  </si>
  <si>
    <t xml:space="preserve">Cavalier King Charles Spaniel</t>
  </si>
  <si>
    <t xml:space="preserve">Cavapoo</t>
  </si>
  <si>
    <t xml:space="preserve">Chesapeake Bay Retriever</t>
  </si>
  <si>
    <t xml:space="preserve">Note: Husky exception (Short Double Coat, light tidy only) cannot be applied without a breed-level field — pending confirmation.</t>
  </si>
  <si>
    <t xml:space="preserve">Chihuahua</t>
  </si>
  <si>
    <t xml:space="preserve">Chihuahua (Long Hair)</t>
  </si>
  <si>
    <t xml:space="preserve">Chinese Crested (Powder Puff)</t>
  </si>
  <si>
    <t xml:space="preserve">PREMIUM SERVICES (ADD-ONS)</t>
  </si>
  <si>
    <t xml:space="preserve">Chinese Crested: Hairless</t>
  </si>
  <si>
    <t xml:space="preserve">Add-On</t>
  </si>
  <si>
    <t xml:space="preserve">Time Added (min)</t>
  </si>
  <si>
    <t xml:space="preserve">Chow Chow</t>
  </si>
  <si>
    <t xml:space="preserve">Hot Aloe SPA Treatment (0-30 lbs)</t>
  </si>
  <si>
    <t xml:space="preserve">Clumber Spaniel</t>
  </si>
  <si>
    <t xml:space="preserve">Hot Aloe SPA Treatment (31-60 lbs)</t>
  </si>
  <si>
    <t xml:space="preserve">Cock A Poo</t>
  </si>
  <si>
    <t xml:space="preserve">Hot Aloe SPA Treatment (60+ lbs)</t>
  </si>
  <si>
    <t xml:space="preserve">Cocker Spaniel</t>
  </si>
  <si>
    <t xml:space="preserve">De-Shedding Treatment (0-30 lbs)</t>
  </si>
  <si>
    <t xml:space="preserve">Collie (Rough)</t>
  </si>
  <si>
    <t xml:space="preserve">De-Shedding Treatment (30-60 lbs)</t>
  </si>
  <si>
    <t xml:space="preserve">Collie (Smooth Coat)</t>
  </si>
  <si>
    <t xml:space="preserve">De-Shedding Treatment (60-100 lbs)</t>
  </si>
  <si>
    <t xml:space="preserve">Coon Hound</t>
  </si>
  <si>
    <t xml:space="preserve">De-Shedding Treatment (101+ lbs)</t>
  </si>
  <si>
    <t xml:space="preserve">Corgi</t>
  </si>
  <si>
    <t xml:space="preserve">Flea Clean-Up &amp; Van Fumigation</t>
  </si>
  <si>
    <t xml:space="preserve">Coton De Tulear (like Havanese)</t>
  </si>
  <si>
    <t xml:space="preserve">Flea Elimination Shampoo</t>
  </si>
  <si>
    <t xml:space="preserve">Dachshund (Longhaired)</t>
  </si>
  <si>
    <t xml:space="preserve">Flea &amp; Tick Treatment Drops</t>
  </si>
  <si>
    <t xml:space="preserve">Dachshund: (Smooth)</t>
  </si>
  <si>
    <t xml:space="preserve">Flea Removal</t>
  </si>
  <si>
    <t xml:space="preserve">Dachshund: (Wirehaired)</t>
  </si>
  <si>
    <t xml:space="preserve">Nail Trim - Extra (Dog)</t>
  </si>
  <si>
    <t xml:space="preserve">Dalmatian</t>
  </si>
  <si>
    <t xml:space="preserve">Paw Pad Treatment</t>
  </si>
  <si>
    <t xml:space="preserve">Dandie Dinmont Terrier</t>
  </si>
  <si>
    <t xml:space="preserve">Teeth Brushing (Dogs Only)</t>
  </si>
  <si>
    <t xml:space="preserve">Doberman Pinscher</t>
  </si>
  <si>
    <t xml:space="preserve">Doodle Large</t>
  </si>
  <si>
    <t xml:space="preserve">Blueberry Facial</t>
  </si>
  <si>
    <t xml:space="preserve">Doodle Medium</t>
  </si>
  <si>
    <t xml:space="preserve">Oatmeal Shampoo (Skin Irritation)</t>
  </si>
  <si>
    <t xml:space="preserve">Doodle Mini</t>
  </si>
  <si>
    <t xml:space="preserve">Whitening Shampoo</t>
  </si>
  <si>
    <t xml:space="preserve">Doodle Standard</t>
  </si>
  <si>
    <t xml:space="preserve">Doodle X Large</t>
  </si>
  <si>
    <t xml:space="preserve">English Bulldog</t>
  </si>
  <si>
    <t xml:space="preserve">DE-MATTING (time-based, estimate only — final charge confirmed on-site)</t>
  </si>
  <si>
    <t xml:space="preserve">English Mastiff</t>
  </si>
  <si>
    <t xml:space="preserve">Time Bracket</t>
  </si>
  <si>
    <t xml:space="preserve">Cost</t>
  </si>
  <si>
    <t xml:space="preserve">Minutes Added</t>
  </si>
  <si>
    <t xml:space="preserve">English Setter</t>
  </si>
  <si>
    <t xml:space="preserve">First 15 minutes (included in base)</t>
  </si>
  <si>
    <t xml:space="preserve">English Toy Spaniel</t>
  </si>
  <si>
    <t xml:space="preserve">16-30 minutes additional</t>
  </si>
  <si>
    <t xml:space="preserve">Eurasier</t>
  </si>
  <si>
    <t xml:space="preserve">31-45 minutes additional</t>
  </si>
  <si>
    <t xml:space="preserve">Flat Coat Retriever</t>
  </si>
  <si>
    <t xml:space="preserve">46-60 minutes additional</t>
  </si>
  <si>
    <t xml:space="preserve">Fox Terrier</t>
  </si>
  <si>
    <t xml:space="preserve">Foxhound (American)</t>
  </si>
  <si>
    <t xml:space="preserve">French Bulldog</t>
  </si>
  <si>
    <t xml:space="preserve">SEASONAL HOLIDAY PACKAGE SPECIAL  ⚠ sample price shown — edit directly on this tab</t>
  </si>
  <si>
    <t xml:space="preserve">French Spaniel</t>
  </si>
  <si>
    <t xml:space="preserve">Price</t>
  </si>
  <si>
    <t xml:space="preserve">German Shepherd</t>
  </si>
  <si>
    <t xml:space="preserve">Seasonal Holiday Package Special</t>
  </si>
  <si>
    <t xml:space="preserve">German Shepherd Long Hair</t>
  </si>
  <si>
    <t xml:space="preserve">German Shorthaired Pointer</t>
  </si>
  <si>
    <t xml:space="preserve">German Wirehaired Pointer</t>
  </si>
  <si>
    <t xml:space="preserve">SPECIES</t>
  </si>
  <si>
    <t xml:space="preserve">Glen of Immal Terrier</t>
  </si>
  <si>
    <t xml:space="preserve">Golden Retriever</t>
  </si>
  <si>
    <t xml:space="preserve">Golden Retriever Extra Large</t>
  </si>
  <si>
    <t xml:space="preserve">Golden Retriever Large</t>
  </si>
  <si>
    <t xml:space="preserve">Goldendoodle</t>
  </si>
  <si>
    <t xml:space="preserve">🔒 SHEET PASSWORD (Pricing Calculator + Booking Log)</t>
  </si>
  <si>
    <t xml:space="preserve">Goldendoodle Extra Large</t>
  </si>
  <si>
    <t xml:space="preserve">Password:</t>
  </si>
  <si>
    <t xml:space="preserve">Demo2026</t>
  </si>
  <si>
    <t xml:space="preserve">Goldendoodle Large</t>
  </si>
  <si>
    <t xml:space="preserve">Needed only to unprotect and edit formulas/layout (Review tab → Unprotect Sheet). Not needed for normal day-to-day use of dropdowns.</t>
  </si>
  <si>
    <t xml:space="preserve">Goldendoodle Medium</t>
  </si>
  <si>
    <t xml:space="preserve">Goldendoodle Miniature</t>
  </si>
  <si>
    <t xml:space="preserve">⚠ Resolved (sample): Cat base time = 90 min (same as dogs). Standard Service ('haircut') adds +30 min, not 15. Age surcharge applies ONLY once, to Base Groom — not Standard Service or Premium Add-ons. Profile Cut priced at Shave Down price + $7. Seasonal Holiday Package = $25 for Fall (sample value).</t>
  </si>
  <si>
    <t xml:space="preserve">Gordon Setter</t>
  </si>
  <si>
    <t xml:space="preserve">Grand Basset Griffon Vendéen</t>
  </si>
  <si>
    <t xml:space="preserve">⚠ STILL OPEN: Husky exception for Profile Cut. Client's breed list includes Huskies ('light tidy only, never shave'), but Huskies fall under 'Short Double Coat' in our coat-type system alongside other breeds where shaving IS fine. Cannot be safely implemented without a breed-level field. Needs direct input on how to handle this — see coat-type list above for which categories currently qualify for Profile Cut.</t>
  </si>
  <si>
    <t xml:space="preserve">Great Dane</t>
  </si>
  <si>
    <t xml:space="preserve">Great Pyrenees</t>
  </si>
  <si>
    <t xml:space="preserve">Greater Swiss Mountain Dog</t>
  </si>
  <si>
    <t xml:space="preserve">CAT-SPECIFIC SERVICES (Long Hair cats only)</t>
  </si>
  <si>
    <t xml:space="preserve">Greyhound</t>
  </si>
  <si>
    <t xml:space="preserve">Description</t>
  </si>
  <si>
    <t xml:space="preserve">Harrier (like Beagle)</t>
  </si>
  <si>
    <t xml:space="preserve">Reduces shedding using special shampoo/conditioner and a de-shedding tool after bathing and drying.</t>
  </si>
  <si>
    <t xml:space="preserve">Havanese</t>
  </si>
  <si>
    <t xml:space="preserve">Belly Shave</t>
  </si>
  <si>
    <t xml:space="preserve">Only the stomach is shaved to prevent tangles/matting in hard-to-reach spots; rest of coat left long.</t>
  </si>
  <si>
    <t xml:space="preserve">Hungarian Water Dog (Puli)</t>
  </si>
  <si>
    <t xml:space="preserve">Lion Cut</t>
  </si>
  <si>
    <t xml:space="preserve">Body shaved short with a mane left around the head/neck and a tuft at the end of the tail.</t>
  </si>
  <si>
    <t xml:space="preserve">Irish Setter</t>
  </si>
  <si>
    <t xml:space="preserve">Kitty Cut</t>
  </si>
  <si>
    <t xml:space="preserve">Slight shortening of coat length while keeping a natural, fluffy look; removes bulk and tangles.</t>
  </si>
  <si>
    <t xml:space="preserve">Irish Terrier</t>
  </si>
  <si>
    <t xml:space="preserve">Coat clipped very short all over. Typically used for severe matting, skin issues, or extreme heat.</t>
  </si>
  <si>
    <t xml:space="preserve">Irish Water Spaniel</t>
  </si>
  <si>
    <t xml:space="preserve">Irish Wolfhound</t>
  </si>
  <si>
    <t xml:space="preserve">⚠ Note: cat services are flagged as Long Hair only, pending confirmation on whether Short Hair cats should also have access to these services.</t>
  </si>
  <si>
    <t xml:space="preserve">Italian Greyhound</t>
  </si>
  <si>
    <t xml:space="preserve">DOG BREED → COAT TYPE (auto-fill source)</t>
  </si>
  <si>
    <t xml:space="preserve">Jack Russell Terrier: Rough</t>
  </si>
  <si>
    <t xml:space="preserve">Breed</t>
  </si>
  <si>
    <t xml:space="preserve">Jack Russell Terrier: Smooth</t>
  </si>
  <si>
    <t xml:space="preserve">Japanese Chin</t>
  </si>
  <si>
    <t xml:space="preserve">Keeshond</t>
  </si>
  <si>
    <t xml:space="preserve">Kelpie</t>
  </si>
  <si>
    <t xml:space="preserve">Kerry Blue Terrier</t>
  </si>
  <si>
    <t xml:space="preserve">Kuvasz</t>
  </si>
  <si>
    <t xml:space="preserve">Labradoodle</t>
  </si>
  <si>
    <t xml:space="preserve">Labradoodle Miniature</t>
  </si>
  <si>
    <t xml:space="preserve">Labrador Retriever</t>
  </si>
  <si>
    <t xml:space="preserve">Lagotto Romagnolo</t>
  </si>
  <si>
    <t xml:space="preserve">Lakeland Terrier</t>
  </si>
  <si>
    <t xml:space="preserve">Leonberger</t>
  </si>
  <si>
    <t xml:space="preserve">Lhasa Apso</t>
  </si>
  <si>
    <t xml:space="preserve">Lowchen</t>
  </si>
  <si>
    <t xml:space="preserve">Lucas Terrier</t>
  </si>
  <si>
    <t xml:space="preserve">Maltese</t>
  </si>
  <si>
    <t xml:space="preserve">Mastiff</t>
  </si>
  <si>
    <t xml:space="preserve">Mastiff Long Hair</t>
  </si>
  <si>
    <t xml:space="preserve">Micro Mini Doodle</t>
  </si>
  <si>
    <t xml:space="preserve">Mini Pincher</t>
  </si>
  <si>
    <t xml:space="preserve">Morkie</t>
  </si>
  <si>
    <t xml:space="preserve">Newfoundland</t>
  </si>
  <si>
    <t xml:space="preserve">Norfolk Terrier</t>
  </si>
  <si>
    <t xml:space="preserve">Norwegian Elkhound</t>
  </si>
  <si>
    <t xml:space="preserve">Norwich Terrier</t>
  </si>
  <si>
    <t xml:space="preserve">Nova Scotia Duck Tolling Retriever</t>
  </si>
  <si>
    <t xml:space="preserve">Ocherese</t>
  </si>
  <si>
    <t xml:space="preserve">Old English Sheepdog</t>
  </si>
  <si>
    <t xml:space="preserve">Papillon</t>
  </si>
  <si>
    <t xml:space="preserve">Parson (Jack) Russell Terrier</t>
  </si>
  <si>
    <t xml:space="preserve">Pekingese</t>
  </si>
  <si>
    <t xml:space="preserve">Petit Basset Griffon Vendeen (PBGV)</t>
  </si>
  <si>
    <t xml:space="preserve">Pit Bull</t>
  </si>
  <si>
    <t xml:space="preserve">Pointer</t>
  </si>
  <si>
    <t xml:space="preserve">Polish Lowland Sheepdog</t>
  </si>
  <si>
    <t xml:space="preserve">Pomapoo</t>
  </si>
  <si>
    <t xml:space="preserve">Pomeranian</t>
  </si>
  <si>
    <t xml:space="preserve">Poodle Small (Miniature)</t>
  </si>
  <si>
    <t xml:space="preserve">Poodle Standard</t>
  </si>
  <si>
    <t xml:space="preserve">Poodle X Small (Tea Cup, Toy)</t>
  </si>
  <si>
    <t xml:space="preserve">Portugese Water Dog</t>
  </si>
  <si>
    <t xml:space="preserve">Pug (or Puggle)</t>
  </si>
  <si>
    <t xml:space="preserve">Rat Terrier</t>
  </si>
  <si>
    <t xml:space="preserve">Red Blue Heeler</t>
  </si>
  <si>
    <t xml:space="preserve">Rhodesian Ridgeback</t>
  </si>
  <si>
    <t xml:space="preserve">Rottweiler</t>
  </si>
  <si>
    <t xml:space="preserve">Saluki</t>
  </si>
  <si>
    <t xml:space="preserve">Samoyed</t>
  </si>
  <si>
    <t xml:space="preserve">Schipperke</t>
  </si>
  <si>
    <t xml:space="preserve">Schnauzer Giant</t>
  </si>
  <si>
    <t xml:space="preserve">Schnauzer Miniature</t>
  </si>
  <si>
    <t xml:space="preserve">Schnauzer Standard</t>
  </si>
  <si>
    <t xml:space="preserve">Schnoodle</t>
  </si>
  <si>
    <t xml:space="preserve">Schnoodle Giant</t>
  </si>
  <si>
    <t xml:space="preserve">Schnoodle Medium</t>
  </si>
  <si>
    <t xml:space="preserve">Scottish Deerhound</t>
  </si>
  <si>
    <t xml:space="preserve">Scottish Terrier (Scottie)</t>
  </si>
  <si>
    <t xml:space="preserve">Sharpei</t>
  </si>
  <si>
    <t xml:space="preserve">Sheepadoodle</t>
  </si>
  <si>
    <t xml:space="preserve">Shetland Sheepdog (Sheltie)</t>
  </si>
  <si>
    <t xml:space="preserve">Shiba Inu</t>
  </si>
  <si>
    <t xml:space="preserve">Shih Tzu</t>
  </si>
  <si>
    <t xml:space="preserve">Shihpoo</t>
  </si>
  <si>
    <t xml:space="preserve">Siberian Husky</t>
  </si>
  <si>
    <t xml:space="preserve">Silky Terrier</t>
  </si>
  <si>
    <t xml:space="preserve">Spanish Water Dog</t>
  </si>
  <si>
    <t xml:space="preserve">Spinone Italiano</t>
  </si>
  <si>
    <t xml:space="preserve">Spitz</t>
  </si>
  <si>
    <t xml:space="preserve">Springer Spaniel</t>
  </si>
  <si>
    <t xml:space="preserve">St. Bernard</t>
  </si>
  <si>
    <t xml:space="preserve">Tibetan Spaniel</t>
  </si>
  <si>
    <t xml:space="preserve">Tibetan Terrier</t>
  </si>
  <si>
    <t xml:space="preserve">Vizsla</t>
  </si>
  <si>
    <t xml:space="preserve">Weimaramer</t>
  </si>
  <si>
    <t xml:space="preserve">Welsh Terrier</t>
  </si>
  <si>
    <t xml:space="preserve">West Highland Terrier (Westie)</t>
  </si>
  <si>
    <t xml:space="preserve">Wheaten Terrier</t>
  </si>
  <si>
    <t xml:space="preserve">Whippet</t>
  </si>
  <si>
    <t xml:space="preserve">Wire Fox Terrier</t>
  </si>
  <si>
    <t xml:space="preserve">Wirehaired Pointing Griffon</t>
  </si>
  <si>
    <t xml:space="preserve">Yorkiepoo</t>
  </si>
  <si>
    <t xml:space="preserve">Yorkshire Terrier</t>
  </si>
</sst>
</file>

<file path=xl/styles.xml><?xml version="1.0" encoding="utf-8"?>
<styleSheet xmlns="http://schemas.openxmlformats.org/spreadsheetml/2006/main">
  <numFmts count="5">
    <numFmt numFmtId="164" formatCode="General"/>
    <numFmt numFmtId="165" formatCode="\$#,##0"/>
    <numFmt numFmtId="166" formatCode="General"/>
    <numFmt numFmtId="167" formatCode="0&quot; min&quot;"/>
    <numFmt numFmtId="168" formatCode="\$#,##0.00"/>
  </numFmts>
  <fonts count="38">
    <font>
      <sz val="11"/>
      <color theme="1"/>
      <name val="Calibri"/>
      <family val="2"/>
      <charset val="1"/>
    </font>
    <font>
      <sz val="10"/>
      <name val="Arial"/>
      <family val="0"/>
    </font>
    <font>
      <sz val="10"/>
      <name val="Arial"/>
      <family val="0"/>
    </font>
    <font>
      <sz val="10"/>
      <name val="Arial"/>
      <family val="0"/>
    </font>
    <font>
      <b val="true"/>
      <sz val="18"/>
      <color rgb="FF006843"/>
      <name val="Calibri"/>
      <family val="0"/>
      <charset val="1"/>
    </font>
    <font>
      <b val="true"/>
      <sz val="13"/>
      <color rgb="FF006843"/>
      <name val="Calibri"/>
      <family val="0"/>
      <charset val="1"/>
    </font>
    <font>
      <sz val="11"/>
      <color rgb="FF2B2B28"/>
      <name val="Calibri"/>
      <family val="0"/>
      <charset val="1"/>
    </font>
    <font>
      <b val="true"/>
      <sz val="11"/>
      <color rgb="FF2B2B28"/>
      <name val="Calibri"/>
      <family val="0"/>
      <charset val="1"/>
    </font>
    <font>
      <b val="true"/>
      <sz val="11"/>
      <color rgb="FFB00000"/>
      <name val="Calibri"/>
      <family val="0"/>
      <charset val="1"/>
    </font>
    <font>
      <b val="true"/>
      <i val="true"/>
      <sz val="10"/>
      <color rgb="FFB00000"/>
      <name val="Calibri"/>
      <family val="0"/>
      <charset val="1"/>
    </font>
    <font>
      <b val="true"/>
      <sz val="20"/>
      <color rgb="FF006843"/>
      <name val="Calibri"/>
      <family val="0"/>
      <charset val="1"/>
    </font>
    <font>
      <i val="true"/>
      <sz val="10"/>
      <color rgb="FF5FA544"/>
      <name val="Calibri"/>
      <family val="0"/>
      <charset val="1"/>
    </font>
    <font>
      <b val="true"/>
      <sz val="12"/>
      <color rgb="FFFFFFFF"/>
      <name val="Calibri"/>
      <family val="0"/>
      <charset val="1"/>
    </font>
    <font>
      <b val="true"/>
      <sz val="16"/>
      <color rgb="FF2B2B28"/>
      <name val="Calibri"/>
      <family val="0"/>
      <charset val="1"/>
    </font>
    <font>
      <b val="true"/>
      <sz val="22"/>
      <color rgb="FF006843"/>
      <name val="Calibri"/>
      <family val="0"/>
      <charset val="1"/>
    </font>
    <font>
      <i val="true"/>
      <sz val="11"/>
      <color rgb="FF5FA544"/>
      <name val="Calibri"/>
      <family val="0"/>
      <charset val="1"/>
    </font>
    <font>
      <sz val="20"/>
      <color rgb="FFC9DCC3"/>
      <name val="Calibri"/>
      <family val="0"/>
      <charset val="1"/>
    </font>
    <font>
      <b val="true"/>
      <sz val="11"/>
      <color rgb="FFFFFFFF"/>
      <name val="Calibri"/>
      <family val="0"/>
      <charset val="1"/>
    </font>
    <font>
      <i val="true"/>
      <sz val="9"/>
      <color rgb="FF999999"/>
      <name val="Calibri"/>
      <family val="0"/>
      <charset val="1"/>
    </font>
    <font>
      <b val="true"/>
      <i val="true"/>
      <sz val="9"/>
      <color rgb="FFB00000"/>
      <name val="Calibri"/>
      <family val="0"/>
      <charset val="1"/>
    </font>
    <font>
      <sz val="10"/>
      <color rgb="FF666666"/>
      <name val="Calibri"/>
      <family val="0"/>
      <charset val="1"/>
    </font>
    <font>
      <b val="true"/>
      <sz val="13"/>
      <color rgb="FF2B2B28"/>
      <name val="Calibri"/>
      <family val="0"/>
      <charset val="1"/>
    </font>
    <font>
      <b val="true"/>
      <sz val="16"/>
      <color rgb="FF5FA544"/>
      <name val="Calibri"/>
      <family val="0"/>
      <charset val="1"/>
    </font>
    <font>
      <b val="true"/>
      <sz val="12"/>
      <color rgb="FF006843"/>
      <name val="Calibri"/>
      <family val="0"/>
      <charset val="1"/>
    </font>
    <font>
      <i val="true"/>
      <sz val="9"/>
      <color rgb="FF4A6B3F"/>
      <name val="Calibri"/>
      <family val="0"/>
      <charset val="1"/>
    </font>
    <font>
      <b val="true"/>
      <sz val="16"/>
      <color rgb="FF006843"/>
      <name val="Calibri"/>
      <family val="0"/>
      <charset val="1"/>
    </font>
    <font>
      <b val="true"/>
      <sz val="10"/>
      <color rgb="FFFFFFFF"/>
      <name val="Calibri"/>
      <family val="0"/>
      <charset val="1"/>
    </font>
    <font>
      <sz val="10"/>
      <color rgb="FF2B2B28"/>
      <name val="Calibri"/>
      <family val="0"/>
      <charset val="1"/>
    </font>
    <font>
      <b val="true"/>
      <sz val="16"/>
      <color rgb="FF2E5B4F"/>
      <name val="Arial"/>
      <family val="0"/>
      <charset val="1"/>
    </font>
    <font>
      <b val="true"/>
      <sz val="11"/>
      <name val="Arial"/>
      <family val="0"/>
      <charset val="1"/>
    </font>
    <font>
      <i val="true"/>
      <sz val="9"/>
      <color rgb="FF999999"/>
      <name val="Arial"/>
      <family val="0"/>
      <charset val="1"/>
    </font>
    <font>
      <i val="true"/>
      <sz val="9"/>
      <color rgb="FFB00000"/>
      <name val="Arial"/>
      <family val="0"/>
      <charset val="1"/>
    </font>
    <font>
      <b val="true"/>
      <sz val="12"/>
      <color rgb="FF2E5B4F"/>
      <name val="Arial"/>
      <family val="0"/>
      <charset val="1"/>
    </font>
    <font>
      <b val="true"/>
      <sz val="11"/>
      <color rgb="FFFFFFFF"/>
      <name val="Arial"/>
      <family val="0"/>
      <charset val="1"/>
    </font>
    <font>
      <sz val="11"/>
      <name val="Arial"/>
      <family val="0"/>
      <charset val="1"/>
    </font>
    <font>
      <b val="true"/>
      <sz val="12"/>
      <color rgb="FFB00000"/>
      <name val="Arial"/>
      <family val="0"/>
      <charset val="1"/>
    </font>
    <font>
      <i val="true"/>
      <sz val="9"/>
      <color rgb="FF666666"/>
      <name val="Arial"/>
      <family val="0"/>
      <charset val="1"/>
    </font>
    <font>
      <sz val="10"/>
      <name val="Arial"/>
      <family val="0"/>
      <charset val="1"/>
    </font>
  </fonts>
  <fills count="12">
    <fill>
      <patternFill patternType="none"/>
    </fill>
    <fill>
      <patternFill patternType="gray125"/>
    </fill>
    <fill>
      <patternFill patternType="solid">
        <fgColor rgb="FF006843"/>
        <bgColor rgb="FF008080"/>
      </patternFill>
    </fill>
    <fill>
      <patternFill patternType="solid">
        <fgColor rgb="FFE8F0E4"/>
        <bgColor rgb="FFE8F0E9"/>
      </patternFill>
    </fill>
    <fill>
      <patternFill patternType="solid">
        <fgColor rgb="FFFFFFFF"/>
        <bgColor rgb="FFF5FAF3"/>
      </patternFill>
    </fill>
    <fill>
      <patternFill patternType="solid">
        <fgColor rgb="FFE8F0E9"/>
        <bgColor rgb="FFE8F0E4"/>
      </patternFill>
    </fill>
    <fill>
      <patternFill patternType="solid">
        <fgColor rgb="FFF5FAF3"/>
        <bgColor rgb="FFEDF5EA"/>
      </patternFill>
    </fill>
    <fill>
      <patternFill patternType="solid">
        <fgColor rgb="FFEDF5EA"/>
        <bgColor rgb="FFE8F0E9"/>
      </patternFill>
    </fill>
    <fill>
      <patternFill patternType="solid">
        <fgColor rgb="FFFCE4E4"/>
        <bgColor rgb="FFFFF2CC"/>
      </patternFill>
    </fill>
    <fill>
      <patternFill patternType="solid">
        <fgColor rgb="FFE2EFDA"/>
        <bgColor rgb="FFE8F0E4"/>
      </patternFill>
    </fill>
    <fill>
      <patternFill patternType="solid">
        <fgColor rgb="FF2E5B4F"/>
        <bgColor rgb="FF4A6B3F"/>
      </patternFill>
    </fill>
    <fill>
      <patternFill patternType="solid">
        <fgColor rgb="FFFFF2CC"/>
        <bgColor rgb="FFFCE4E4"/>
      </patternFill>
    </fill>
  </fills>
  <borders count="4">
    <border diagonalUp="false" diagonalDown="false">
      <left/>
      <right/>
      <top/>
      <bottom/>
      <diagonal/>
    </border>
    <border diagonalUp="false" diagonalDown="false">
      <left style="thin">
        <color rgb="FFD7E5D2"/>
      </left>
      <right style="thin">
        <color rgb="FFD7E5D2"/>
      </right>
      <top style="thin">
        <color rgb="FFD7E5D2"/>
      </top>
      <bottom style="thin">
        <color rgb="FFD7E5D2"/>
      </bottom>
      <diagonal/>
    </border>
    <border diagonalUp="false" diagonalDown="false">
      <left style="thin">
        <color rgb="FFD7E5D2"/>
      </left>
      <right/>
      <top style="thin">
        <color rgb="FFD7E5D2"/>
      </top>
      <bottom style="thin">
        <color rgb="FFD7E5D2"/>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5" fontId="14" fillId="3"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left"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false" hidden="false"/>
    </xf>
    <xf numFmtId="164" fontId="6" fillId="4" borderId="1" xfId="0" applyFont="true" applyBorder="true" applyAlignment="true" applyProtection="true">
      <alignment horizontal="general" vertical="bottom" textRotation="0" wrapText="false" indent="0" shrinkToFit="false"/>
      <protection locked="false" hidden="false"/>
    </xf>
    <xf numFmtId="164" fontId="17" fillId="2" borderId="0" xfId="0" applyFont="true" applyBorder="false" applyAlignment="true" applyProtection="false">
      <alignment horizontal="center"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general" vertical="bottom" textRotation="0" wrapText="false" indent="0" shrinkToFit="false"/>
      <protection locked="true" hidden="false"/>
    </xf>
    <xf numFmtId="167" fontId="0" fillId="4" borderId="1" xfId="0" applyFont="fals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center" vertical="bottom" textRotation="0" wrapText="false" indent="0" shrinkToFit="false"/>
      <protection locked="true" hidden="false"/>
    </xf>
    <xf numFmtId="168" fontId="0" fillId="4" borderId="1" xfId="0" applyFont="fals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false" hidden="false"/>
    </xf>
    <xf numFmtId="165" fontId="6" fillId="4" borderId="1" xfId="0" applyFont="true" applyBorder="true" applyAlignment="true" applyProtection="false">
      <alignment horizontal="right" vertical="bottom" textRotation="0" wrapText="false" indent="0" shrinkToFit="false"/>
      <protection locked="true" hidden="false"/>
    </xf>
    <xf numFmtId="164" fontId="20" fillId="4"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true" applyProtection="true">
      <alignment horizontal="center" vertical="bottom" textRotation="0" wrapText="false" indent="0" shrinkToFit="false"/>
      <protection locked="fals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5" fontId="6" fillId="6" borderId="1" xfId="0" applyFont="true" applyBorder="tru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13" fillId="5" borderId="0" xfId="0" applyFont="true" applyBorder="true" applyAlignment="true" applyProtection="false">
      <alignment horizontal="general" vertical="center" textRotation="0" wrapText="false" indent="1" shrinkToFit="false"/>
      <protection locked="true" hidden="false"/>
    </xf>
    <xf numFmtId="165" fontId="10" fillId="5" borderId="0" xfId="0" applyFont="true" applyBorder="true" applyAlignment="true" applyProtection="false">
      <alignment horizontal="right" vertical="center" textRotation="0" wrapText="false" indent="1" shrinkToFit="false"/>
      <protection locked="true" hidden="false"/>
    </xf>
    <xf numFmtId="164" fontId="21" fillId="3" borderId="0" xfId="0" applyFont="true" applyBorder="true" applyAlignment="true" applyProtection="false">
      <alignment horizontal="general" vertical="center" textRotation="0" wrapText="false" indent="1" shrinkToFit="false"/>
      <protection locked="true" hidden="false"/>
    </xf>
    <xf numFmtId="164" fontId="22" fillId="3" borderId="0" xfId="0" applyFont="true" applyBorder="true" applyAlignment="true" applyProtection="false">
      <alignment horizontal="right" vertical="center" textRotation="0" wrapText="false" indent="1"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fals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4" fillId="7"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6" fillId="2"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true">
      <alignment horizontal="general" vertical="bottom" textRotation="0" wrapText="false" indent="0" shrinkToFit="false"/>
      <protection locked="false" hidden="false"/>
    </xf>
    <xf numFmtId="165" fontId="27" fillId="0" borderId="1" xfId="0" applyFont="true" applyBorder="true" applyAlignment="true" applyProtection="true">
      <alignment horizontal="general" vertical="bottom" textRotation="0" wrapText="false" indent="0" shrinkToFit="false"/>
      <protection locked="false" hidden="false"/>
    </xf>
    <xf numFmtId="164" fontId="27" fillId="5" borderId="1" xfId="0" applyFont="true" applyBorder="true" applyAlignment="true" applyProtection="true">
      <alignment horizontal="center" vertical="bottom" textRotation="0" wrapText="false" indent="0" shrinkToFit="false"/>
      <protection locked="false" hidden="false"/>
    </xf>
    <xf numFmtId="164" fontId="27" fillId="8" borderId="1" xfId="0" applyFont="true" applyBorder="true" applyAlignment="true" applyProtection="true">
      <alignment horizontal="center" vertical="bottom" textRotation="0" wrapText="false" indent="0" shrinkToFit="false"/>
      <protection locked="false" hidden="false"/>
    </xf>
    <xf numFmtId="165" fontId="0" fillId="4" borderId="1" xfId="0" applyFont="fals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6" fontId="23" fillId="0" borderId="1" xfId="0" applyFont="true" applyBorder="true" applyAlignment="true" applyProtection="false">
      <alignment horizontal="general" vertical="bottom" textRotation="0" wrapText="false" indent="0" shrinkToFit="false"/>
      <protection locked="true" hidden="false"/>
    </xf>
    <xf numFmtId="165" fontId="23" fillId="0" borderId="1"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5" fontId="0" fillId="9" borderId="0" xfId="0" applyFont="fals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10" borderId="3" xfId="0" applyFont="true" applyBorder="true" applyAlignment="true" applyProtection="false">
      <alignment horizontal="center" vertical="center" textRotation="0" wrapText="true" indent="0" shrinkToFit="false"/>
      <protection locked="true" hidden="false"/>
    </xf>
    <xf numFmtId="164" fontId="34" fillId="0" borderId="3" xfId="0" applyFont="true" applyBorder="true" applyAlignment="true" applyProtection="false">
      <alignment horizontal="general" vertical="bottom" textRotation="0" wrapText="false" indent="0" shrinkToFit="false"/>
      <protection locked="true" hidden="false"/>
    </xf>
    <xf numFmtId="165" fontId="34" fillId="0" borderId="3" xfId="0" applyFont="true" applyBorder="true" applyAlignment="true" applyProtection="false">
      <alignment horizontal="general" vertical="bottom" textRotation="0" wrapText="false" indent="0" shrinkToFit="false"/>
      <protection locked="true" hidden="false"/>
    </xf>
    <xf numFmtId="164" fontId="29" fillId="0" borderId="3" xfId="0" applyFont="true" applyBorder="true" applyAlignment="true" applyProtection="false">
      <alignment horizontal="general" vertical="bottom" textRotation="0" wrapText="false" indent="0" shrinkToFit="false"/>
      <protection locked="true" hidden="false"/>
    </xf>
    <xf numFmtId="164" fontId="35" fillId="11" borderId="3" xfId="0" applyFont="true" applyBorder="tru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3" fillId="10" borderId="3" xfId="0" applyFont="true" applyBorder="tru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general" vertical="top" textRotation="0" wrapText="true" indent="0" shrinkToFit="false"/>
      <protection locked="true" hidden="false"/>
    </xf>
    <xf numFmtId="164" fontId="37" fillId="0" borderId="3"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00"/>
      <rgbColor rgb="FF008000"/>
      <rgbColor rgb="FF000080"/>
      <rgbColor rgb="FF4A6B3F"/>
      <rgbColor rgb="FF800080"/>
      <rgbColor rgb="FF006843"/>
      <rgbColor rgb="FFBFBFBF"/>
      <rgbColor rgb="FF808080"/>
      <rgbColor rgb="FF9999FF"/>
      <rgbColor rgb="FF993366"/>
      <rgbColor rgb="FFFFF2CC"/>
      <rgbColor rgb="FFE8F0E9"/>
      <rgbColor rgb="FF660066"/>
      <rgbColor rgb="FFFF8080"/>
      <rgbColor rgb="FF0066CC"/>
      <rgbColor rgb="FFC9DCC3"/>
      <rgbColor rgb="FF000080"/>
      <rgbColor rgb="FFFF00FF"/>
      <rgbColor rgb="FFFFFF00"/>
      <rgbColor rgb="FF00FFFF"/>
      <rgbColor rgb="FF800080"/>
      <rgbColor rgb="FF800000"/>
      <rgbColor rgb="FF008080"/>
      <rgbColor rgb="FF0000FF"/>
      <rgbColor rgb="FF00CCFF"/>
      <rgbColor rgb="FFEDF5EA"/>
      <rgbColor rgb="FFE2EFDA"/>
      <rgbColor rgb="FFE8F0E4"/>
      <rgbColor rgb="FFD7E5D2"/>
      <rgbColor rgb="FFF5FAF3"/>
      <rgbColor rgb="FFCC99FF"/>
      <rgbColor rgb="FFFCE4E4"/>
      <rgbColor rgb="FF3366FF"/>
      <rgbColor rgb="FF33CCCC"/>
      <rgbColor rgb="FF99CC00"/>
      <rgbColor rgb="FFFFCC00"/>
      <rgbColor rgb="FFFF9900"/>
      <rgbColor rgb="FFFF6600"/>
      <rgbColor rgb="FF666666"/>
      <rgbColor rgb="FF999999"/>
      <rgbColor rgb="FF003366"/>
      <rgbColor rgb="FF5FA544"/>
      <rgbColor rgb="FF003300"/>
      <rgbColor rgb="FF333300"/>
      <rgbColor rgb="FF993300"/>
      <rgbColor rgb="FF993366"/>
      <rgbColor rgb="FF2E5B4F"/>
      <rgbColor rgb="FF2B2B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760680</xdr:colOff>
      <xdr:row>3</xdr:row>
      <xdr:rowOff>93600</xdr:rowOff>
    </xdr:to>
    <xdr:pic>
      <xdr:nvPicPr>
        <xdr:cNvPr id="0" name="Image 1" descr="Picture"/>
        <xdr:cNvPicPr/>
      </xdr:nvPicPr>
      <xdr:blipFill>
        <a:blip r:embed="rId1"/>
        <a:stretch/>
      </xdr:blipFill>
      <xdr:spPr>
        <a:xfrm>
          <a:off x="211320" y="190440"/>
          <a:ext cx="760680" cy="588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903600</xdr:colOff>
      <xdr:row>1</xdr:row>
      <xdr:rowOff>122040</xdr:rowOff>
    </xdr:to>
    <xdr:pic>
      <xdr:nvPicPr>
        <xdr:cNvPr id="1" name="Image 1" descr="Picture"/>
        <xdr:cNvPicPr/>
      </xdr:nvPicPr>
      <xdr:blipFill>
        <a:blip r:embed="rId1"/>
        <a:stretch/>
      </xdr:blipFill>
      <xdr:spPr>
        <a:xfrm>
          <a:off x="0" y="0"/>
          <a:ext cx="903600" cy="693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9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s>
  <sheetData>
    <row r="1" customFormat="false" ht="21.75" hidden="false" customHeight="true" outlineLevel="0" collapsed="false">
      <c r="B1" s="2" t="s">
        <v>0</v>
      </c>
    </row>
    <row r="3" customFormat="false" ht="15.75" hidden="false" customHeight="true" outlineLevel="0" collapsed="false">
      <c r="B3" s="3" t="s">
        <v>1</v>
      </c>
    </row>
    <row r="4" customFormat="false" ht="30" hidden="false" customHeight="true" outlineLevel="0" collapsed="false">
      <c r="B4" s="4" t="s">
        <v>2</v>
      </c>
    </row>
    <row r="5" customFormat="false" ht="30" hidden="false" customHeight="true" outlineLevel="0" collapsed="false">
      <c r="B5" s="4" t="s">
        <v>3</v>
      </c>
    </row>
    <row r="6" customFormat="false" ht="30" hidden="false" customHeight="true" outlineLevel="0" collapsed="false">
      <c r="B6" s="4" t="s">
        <v>4</v>
      </c>
    </row>
    <row r="7" customFormat="false" ht="30" hidden="false" customHeight="true" outlineLevel="0" collapsed="false">
      <c r="B7" s="4" t="s">
        <v>5</v>
      </c>
    </row>
    <row r="8" customFormat="false" ht="30" hidden="false" customHeight="true" outlineLevel="0" collapsed="false">
      <c r="B8" s="4" t="s">
        <v>6</v>
      </c>
    </row>
    <row r="9" customFormat="false" ht="30" hidden="false" customHeight="true" outlineLevel="0" collapsed="false">
      <c r="B9" s="4" t="s">
        <v>7</v>
      </c>
    </row>
    <row r="10" customFormat="false" ht="30" hidden="false" customHeight="true" outlineLevel="0" collapsed="false">
      <c r="B10" s="4" t="s">
        <v>8</v>
      </c>
    </row>
    <row r="11" customFormat="false" ht="30" hidden="false" customHeight="true" outlineLevel="0" collapsed="false">
      <c r="B11" s="4" t="s">
        <v>9</v>
      </c>
    </row>
    <row r="13" customFormat="false" ht="15.75" hidden="false" customHeight="true" outlineLevel="0" collapsed="false">
      <c r="B13" s="3" t="s">
        <v>10</v>
      </c>
    </row>
    <row r="14" customFormat="false" ht="30" hidden="false" customHeight="true" outlineLevel="0" collapsed="false">
      <c r="B14" s="4" t="s">
        <v>11</v>
      </c>
    </row>
    <row r="15" customFormat="false" ht="30" hidden="false" customHeight="true" outlineLevel="0" collapsed="false">
      <c r="B15" s="4" t="s">
        <v>12</v>
      </c>
    </row>
    <row r="16" customFormat="false" ht="30" hidden="false" customHeight="true" outlineLevel="0" collapsed="false">
      <c r="B16" s="4" t="s">
        <v>13</v>
      </c>
    </row>
    <row r="18" customFormat="false" ht="15.75" hidden="false" customHeight="true" outlineLevel="0" collapsed="false">
      <c r="B18" s="3" t="s">
        <v>14</v>
      </c>
    </row>
    <row r="19" customFormat="false" ht="30" hidden="false" customHeight="true" outlineLevel="0" collapsed="false">
      <c r="B19" s="4" t="s">
        <v>15</v>
      </c>
    </row>
    <row r="20" customFormat="false" ht="30" hidden="false" customHeight="true" outlineLevel="0" collapsed="false">
      <c r="B20" s="4" t="s">
        <v>16</v>
      </c>
    </row>
    <row r="22" customFormat="false" ht="15.75" hidden="false" customHeight="true" outlineLevel="0" collapsed="false">
      <c r="B22" s="3" t="s">
        <v>17</v>
      </c>
    </row>
    <row r="23" customFormat="false" ht="30" hidden="false" customHeight="true" outlineLevel="0" collapsed="false">
      <c r="B23" s="4" t="s">
        <v>18</v>
      </c>
    </row>
    <row r="24" customFormat="false" ht="30" hidden="false" customHeight="true" outlineLevel="0" collapsed="false">
      <c r="B24" s="4" t="s">
        <v>19</v>
      </c>
    </row>
    <row r="25" customFormat="false" ht="30" hidden="false" customHeight="true" outlineLevel="0" collapsed="false">
      <c r="B25" s="4" t="s">
        <v>20</v>
      </c>
    </row>
    <row r="26" customFormat="false" ht="30" hidden="false" customHeight="true" outlineLevel="0" collapsed="false">
      <c r="B26" s="4" t="s">
        <v>21</v>
      </c>
    </row>
    <row r="28" customFormat="false" ht="15.75" hidden="false" customHeight="true" outlineLevel="0" collapsed="false">
      <c r="B28" s="3" t="s">
        <v>22</v>
      </c>
    </row>
    <row r="29" customFormat="false" ht="45" hidden="false" customHeight="true" outlineLevel="0" collapsed="false">
      <c r="B29" s="4" t="s">
        <v>23</v>
      </c>
    </row>
    <row r="31" customFormat="false" ht="15" hidden="false" customHeight="true" outlineLevel="0" collapsed="false">
      <c r="B31" s="5" t="s">
        <v>24</v>
      </c>
    </row>
    <row r="32" customFormat="false" ht="15" hidden="false" customHeight="true" outlineLevel="0" collapsed="false">
      <c r="B32" s="6" t="s">
        <v>25</v>
      </c>
    </row>
    <row r="33" customFormat="false" ht="27.75" hidden="false" customHeight="true" outlineLevel="0" collapsed="false">
      <c r="B33" s="4" t="s">
        <v>26</v>
      </c>
    </row>
    <row r="35" customFormat="false" ht="15" hidden="false" customHeight="true" outlineLevel="0" collapsed="false">
      <c r="B35" s="5" t="s">
        <v>27</v>
      </c>
    </row>
    <row r="36" customFormat="false" ht="15" hidden="false" customHeight="true" outlineLevel="0" collapsed="false">
      <c r="B36" s="6" t="s">
        <v>28</v>
      </c>
    </row>
    <row r="37" customFormat="false" ht="27.75" hidden="false" customHeight="true" outlineLevel="0" collapsed="false">
      <c r="B37" s="4" t="s">
        <v>29</v>
      </c>
    </row>
    <row r="39" customFormat="false" ht="15" hidden="false" customHeight="true" outlineLevel="0" collapsed="false">
      <c r="B39" s="5" t="s">
        <v>30</v>
      </c>
    </row>
    <row r="40" customFormat="false" ht="15" hidden="false" customHeight="true" outlineLevel="0" collapsed="false">
      <c r="B40" s="6" t="s">
        <v>31</v>
      </c>
    </row>
    <row r="41" customFormat="false" ht="27.75" hidden="false" customHeight="true" outlineLevel="0" collapsed="false">
      <c r="B41" s="4" t="s">
        <v>32</v>
      </c>
    </row>
    <row r="43" customFormat="false" ht="15" hidden="false" customHeight="true" outlineLevel="0" collapsed="false">
      <c r="B43" s="5" t="s">
        <v>33</v>
      </c>
    </row>
    <row r="44" customFormat="false" ht="15" hidden="false" customHeight="true" outlineLevel="0" collapsed="false">
      <c r="B44" s="6" t="s">
        <v>34</v>
      </c>
    </row>
    <row r="45" customFormat="false" ht="27.75" hidden="false" customHeight="true" outlineLevel="0" collapsed="false">
      <c r="B45" s="4" t="s">
        <v>35</v>
      </c>
    </row>
    <row r="47" customFormat="false" ht="15" hidden="false" customHeight="true" outlineLevel="0" collapsed="false">
      <c r="B47" s="5" t="s">
        <v>36</v>
      </c>
    </row>
    <row r="48" customFormat="false" ht="15" hidden="false" customHeight="true" outlineLevel="0" collapsed="false">
      <c r="B48" s="6" t="s">
        <v>37</v>
      </c>
    </row>
    <row r="49" customFormat="false" ht="27.75" hidden="false" customHeight="true" outlineLevel="0" collapsed="false">
      <c r="B49" s="4" t="s">
        <v>38</v>
      </c>
    </row>
    <row r="51" customFormat="false" ht="15" hidden="false" customHeight="true" outlineLevel="0" collapsed="false">
      <c r="B51" s="5" t="s">
        <v>39</v>
      </c>
    </row>
    <row r="52" customFormat="false" ht="15" hidden="false" customHeight="true" outlineLevel="0" collapsed="false">
      <c r="B52" s="6" t="s">
        <v>40</v>
      </c>
    </row>
    <row r="53" customFormat="false" ht="27.75" hidden="false" customHeight="true" outlineLevel="0" collapsed="false">
      <c r="B53" s="4" t="s">
        <v>41</v>
      </c>
    </row>
    <row r="55" customFormat="false" ht="15" hidden="false" customHeight="true" outlineLevel="0" collapsed="false">
      <c r="B55" s="5" t="s">
        <v>42</v>
      </c>
    </row>
    <row r="56" customFormat="false" ht="15" hidden="false" customHeight="true" outlineLevel="0" collapsed="false">
      <c r="B56" s="6" t="s">
        <v>43</v>
      </c>
    </row>
    <row r="57" customFormat="false" ht="27.75" hidden="false" customHeight="true" outlineLevel="0" collapsed="false">
      <c r="B57" s="4" t="s">
        <v>44</v>
      </c>
    </row>
    <row r="59" customFormat="false" ht="15" hidden="false" customHeight="true" outlineLevel="0" collapsed="false">
      <c r="B59" s="5" t="s">
        <v>45</v>
      </c>
    </row>
    <row r="60" customFormat="false" ht="15" hidden="false" customHeight="true" outlineLevel="0" collapsed="false">
      <c r="B60" s="6" t="s">
        <v>46</v>
      </c>
    </row>
    <row r="61" customFormat="false" ht="27.75" hidden="false" customHeight="true" outlineLevel="0" collapsed="false">
      <c r="B61" s="4" t="s">
        <v>47</v>
      </c>
    </row>
    <row r="63" customFormat="false" ht="15" hidden="false" customHeight="true" outlineLevel="0" collapsed="false">
      <c r="B63" s="5" t="s">
        <v>48</v>
      </c>
    </row>
    <row r="64" customFormat="false" ht="15" hidden="false" customHeight="true" outlineLevel="0" collapsed="false">
      <c r="B64" s="6" t="s">
        <v>49</v>
      </c>
    </row>
    <row r="65" customFormat="false" ht="27.75" hidden="false" customHeight="true" outlineLevel="0" collapsed="false">
      <c r="B65" s="4" t="s">
        <v>50</v>
      </c>
    </row>
    <row r="67" customFormat="false" ht="15" hidden="false" customHeight="true" outlineLevel="0" collapsed="false">
      <c r="B67" s="5" t="s">
        <v>51</v>
      </c>
    </row>
    <row r="68" customFormat="false" ht="15" hidden="false" customHeight="true" outlineLevel="0" collapsed="false">
      <c r="B68" s="6" t="s">
        <v>52</v>
      </c>
    </row>
    <row r="69" customFormat="false" ht="27.75" hidden="false" customHeight="true" outlineLevel="0" collapsed="false">
      <c r="B69" s="4" t="s">
        <v>53</v>
      </c>
    </row>
    <row r="71" customFormat="false" ht="15" hidden="false" customHeight="true" outlineLevel="0" collapsed="false">
      <c r="B71" s="5" t="s">
        <v>54</v>
      </c>
    </row>
    <row r="72" customFormat="false" ht="15" hidden="false" customHeight="true" outlineLevel="0" collapsed="false">
      <c r="B72" s="6" t="s">
        <v>55</v>
      </c>
    </row>
    <row r="73" customFormat="false" ht="27.75" hidden="false" customHeight="true" outlineLevel="0" collapsed="false">
      <c r="B73" s="4" t="s">
        <v>56</v>
      </c>
    </row>
    <row r="75" customFormat="false" ht="15" hidden="false" customHeight="true" outlineLevel="0" collapsed="false">
      <c r="B75" s="5" t="s">
        <v>57</v>
      </c>
    </row>
    <row r="76" customFormat="false" ht="15" hidden="false" customHeight="true" outlineLevel="0" collapsed="false">
      <c r="B76" s="6" t="s">
        <v>58</v>
      </c>
    </row>
    <row r="77" customFormat="false" ht="27.75" hidden="false" customHeight="true" outlineLevel="0" collapsed="false">
      <c r="B77" s="4" t="s">
        <v>59</v>
      </c>
    </row>
    <row r="79" customFormat="false" ht="45" hidden="false" customHeight="true" outlineLevel="0" collapsed="false">
      <c r="B79" s="7" t="s">
        <v>60</v>
      </c>
    </row>
    <row r="81" customFormat="false" ht="15.75" hidden="false" customHeight="true" outlineLevel="0" collapsed="false">
      <c r="B81" s="3" t="s">
        <v>61</v>
      </c>
    </row>
    <row r="82" customFormat="false" ht="30" hidden="false" customHeight="true" outlineLevel="0" collapsed="false">
      <c r="B82" s="4" t="s">
        <v>62</v>
      </c>
    </row>
    <row r="83" customFormat="false" ht="30" hidden="false" customHeight="true" outlineLevel="0" collapsed="false">
      <c r="B83" s="4" t="s">
        <v>63</v>
      </c>
    </row>
    <row r="85" customFormat="false" ht="15.75" hidden="false" customHeight="true" outlineLevel="0" collapsed="false">
      <c r="B85" s="3" t="s">
        <v>64</v>
      </c>
    </row>
    <row r="86" customFormat="false" ht="30" hidden="false" customHeight="true" outlineLevel="0" collapsed="false">
      <c r="B86" s="4" t="s">
        <v>65</v>
      </c>
    </row>
    <row r="87" customFormat="false" ht="30" hidden="false" customHeight="true" outlineLevel="0" collapsed="false">
      <c r="B87" s="4" t="s">
        <v>66</v>
      </c>
    </row>
    <row r="89" customFormat="false" ht="15.75" hidden="false" customHeight="true" outlineLevel="0" collapsed="false">
      <c r="B89" s="3" t="s">
        <v>67</v>
      </c>
    </row>
    <row r="90" customFormat="false" ht="30" hidden="false" customHeight="true" outlineLevel="0" collapsed="false">
      <c r="B90" s="4" t="s">
        <v>68</v>
      </c>
    </row>
    <row r="91" customFormat="false" ht="30" hidden="false" customHeight="true" outlineLevel="0" collapsed="false">
      <c r="B91" s="4"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18"/>
    <col collapsed="false" customWidth="true" hidden="false" outlineLevel="0" max="5" min="5" style="1" width="3"/>
  </cols>
  <sheetData>
    <row r="2" customFormat="false" ht="24" hidden="false" customHeight="true" outlineLevel="0" collapsed="false">
      <c r="C2" s="8" t="s">
        <v>70</v>
      </c>
      <c r="D2" s="8"/>
    </row>
    <row r="3" customFormat="false" ht="15" hidden="false" customHeight="true" outlineLevel="0" collapsed="false">
      <c r="C3" s="9" t="s">
        <v>71</v>
      </c>
      <c r="D3" s="9"/>
    </row>
    <row r="5" customFormat="false" ht="15" hidden="false" customHeight="true" outlineLevel="0" collapsed="false">
      <c r="C5" s="5" t="s">
        <v>72</v>
      </c>
      <c r="D5" s="10" t="str">
        <f aca="true">TEXT(TODAY(),"mmmm d, yyyy")</f>
        <v>September 13, 2026</v>
      </c>
    </row>
    <row r="7" customFormat="false" ht="15" hidden="false" customHeight="true" outlineLevel="0" collapsed="false">
      <c r="B7" s="11" t="s">
        <v>73</v>
      </c>
      <c r="C7" s="11"/>
      <c r="D7" s="11"/>
    </row>
    <row r="8" customFormat="false" ht="15" hidden="false" customHeight="true" outlineLevel="0" collapsed="false">
      <c r="B8" s="5" t="s">
        <v>74</v>
      </c>
      <c r="C8" s="12" t="str">
        <f aca="false">IF('Pricing Calculator'!F4="","—",'Pricing Calculator'!F4)</f>
        <v>—</v>
      </c>
      <c r="D8" s="12"/>
    </row>
    <row r="9" customFormat="false" ht="15" hidden="false" customHeight="true" outlineLevel="0" collapsed="false">
      <c r="B9" s="5" t="s">
        <v>75</v>
      </c>
      <c r="C9" s="12" t="str">
        <f aca="false">IF('Pricing Calculator'!B4="","—",'Pricing Calculator'!B4)</f>
        <v>—</v>
      </c>
      <c r="D9" s="12"/>
    </row>
    <row r="10" customFormat="false" ht="15" hidden="false" customHeight="true" outlineLevel="0" collapsed="false">
      <c r="B10" s="5" t="s">
        <v>76</v>
      </c>
      <c r="C10" s="12" t="str">
        <f aca="false">IF('Pricing Calculator'!B5="","—",'Pricing Calculator'!B5)</f>
        <v>—</v>
      </c>
      <c r="D10" s="12"/>
    </row>
    <row r="11" customFormat="false" ht="15" hidden="false" customHeight="true" outlineLevel="0" collapsed="false">
      <c r="B11" s="5" t="s">
        <v>77</v>
      </c>
      <c r="C11" s="12" t="str">
        <f aca="false">IF('Pricing Calculator'!B6="","—",'Pricing Calculator'!B6)</f>
        <v>—</v>
      </c>
      <c r="D11" s="12"/>
    </row>
    <row r="12" customFormat="false" ht="15" hidden="false" customHeight="true" outlineLevel="0" collapsed="false">
      <c r="B12" s="5" t="s">
        <v>78</v>
      </c>
      <c r="C12" s="12" t="str">
        <f aca="false">IF('Pricing Calculator'!B7="","—",'Pricing Calculator'!B7)</f>
        <v>—</v>
      </c>
      <c r="D12" s="12"/>
    </row>
    <row r="14" customFormat="false" ht="15" hidden="false" customHeight="true" outlineLevel="0" collapsed="false">
      <c r="B14" s="11" t="s">
        <v>79</v>
      </c>
      <c r="C14" s="11"/>
      <c r="D14" s="11"/>
    </row>
    <row r="15" customFormat="false" ht="15" hidden="false" customHeight="true" outlineLevel="0" collapsed="false">
      <c r="B15" s="13" t="s">
        <v>80</v>
      </c>
      <c r="C15" s="13"/>
      <c r="D15" s="13" t="s">
        <v>81</v>
      </c>
    </row>
    <row r="16" customFormat="false" ht="15" hidden="false" customHeight="true" outlineLevel="0" collapsed="false">
      <c r="B16" s="14" t="s">
        <v>82</v>
      </c>
      <c r="C16" s="14"/>
      <c r="D16" s="15" t="n">
        <f aca="false">'Pricing Calculator'!J5</f>
        <v>0</v>
      </c>
    </row>
    <row r="17" customFormat="false" ht="15" hidden="false" customHeight="true" outlineLevel="0" collapsed="false">
      <c r="B17" s="14" t="s">
        <v>83</v>
      </c>
      <c r="C17" s="14"/>
      <c r="D17" s="15" t="n">
        <f aca="false">'Pricing Calculator'!J6</f>
        <v>0</v>
      </c>
    </row>
    <row r="18" customFormat="false" ht="15" hidden="false" customHeight="true" outlineLevel="0" collapsed="false">
      <c r="B18" s="14" t="s">
        <v>84</v>
      </c>
      <c r="C18" s="14"/>
      <c r="D18" s="15" t="n">
        <f aca="false">'Pricing Calculator'!J7</f>
        <v>0</v>
      </c>
    </row>
    <row r="19" customFormat="false" ht="15" hidden="false" customHeight="true" outlineLevel="0" collapsed="false">
      <c r="B19" s="14" t="s">
        <v>85</v>
      </c>
      <c r="C19" s="14"/>
      <c r="D19" s="15" t="n">
        <f aca="false">'Pricing Calculator'!J11</f>
        <v>0</v>
      </c>
    </row>
    <row r="20" customFormat="false" ht="15" hidden="false" customHeight="true" outlineLevel="0" collapsed="false">
      <c r="B20" s="14" t="s">
        <v>86</v>
      </c>
      <c r="C20" s="14"/>
      <c r="D20" s="15" t="n">
        <f aca="false">'Pricing Calculator'!J12</f>
        <v>0</v>
      </c>
    </row>
    <row r="21" customFormat="false" ht="15" hidden="false" customHeight="true" outlineLevel="0" collapsed="false">
      <c r="B21" s="14" t="s">
        <v>87</v>
      </c>
      <c r="C21" s="14"/>
      <c r="D21" s="15" t="n">
        <f aca="false">'Pricing Calculator'!J13</f>
        <v>0</v>
      </c>
    </row>
    <row r="22" customFormat="false" ht="15" hidden="false" customHeight="true" outlineLevel="0" collapsed="false">
      <c r="B22" s="14" t="s">
        <v>88</v>
      </c>
      <c r="C22" s="14"/>
      <c r="D22" s="15" t="n">
        <f aca="false">-'Pricing Calculator'!J15</f>
        <v>-0</v>
      </c>
    </row>
    <row r="24" customFormat="false" ht="30" hidden="false" customHeight="true" outlineLevel="0" collapsed="false">
      <c r="B24" s="16" t="s">
        <v>89</v>
      </c>
      <c r="C24" s="16"/>
      <c r="D24" s="17" t="n">
        <f aca="false">'Pricing Calculator'!J17</f>
        <v>0</v>
      </c>
    </row>
    <row r="25" customFormat="false" ht="15" hidden="false" customHeight="true" outlineLevel="0" collapsed="false">
      <c r="B25" s="5" t="s">
        <v>90</v>
      </c>
      <c r="C25" s="12" t="str">
        <f aca="false">'Pricing Calculator'!J18</f>
        <v>0 min</v>
      </c>
      <c r="D25" s="12"/>
    </row>
    <row r="27" customFormat="false" ht="15" hidden="false" customHeight="true" outlineLevel="0" collapsed="false">
      <c r="B27" s="18" t="s">
        <v>91</v>
      </c>
      <c r="C27" s="18"/>
      <c r="D27" s="18"/>
    </row>
  </sheetData>
  <mergeCells count="19">
    <mergeCell ref="C2:D2"/>
    <mergeCell ref="C3:D3"/>
    <mergeCell ref="B7:D7"/>
    <mergeCell ref="C8:D8"/>
    <mergeCell ref="C9:D9"/>
    <mergeCell ref="C10:D10"/>
    <mergeCell ref="C11:D11"/>
    <mergeCell ref="C12:D12"/>
    <mergeCell ref="B14:D14"/>
    <mergeCell ref="B16:C16"/>
    <mergeCell ref="B17:C17"/>
    <mergeCell ref="B18:C18"/>
    <mergeCell ref="B19:C19"/>
    <mergeCell ref="B20:C20"/>
    <mergeCell ref="B21:C21"/>
    <mergeCell ref="B22:C22"/>
    <mergeCell ref="B24:C24"/>
    <mergeCell ref="C25:D25"/>
    <mergeCell ref="B27:D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5"/>
    <col collapsed="false" customWidth="true" hidden="false" outlineLevel="0" max="4" min="4" style="1" width="10"/>
    <col collapsed="false" customWidth="true" hidden="false" outlineLevel="0" max="5" min="5" style="1" width="11"/>
    <col collapsed="false" customWidth="true" hidden="false" outlineLevel="0" max="6" min="6" style="1" width="14"/>
    <col collapsed="false" customWidth="true" hidden="false" outlineLevel="0" max="7" min="7" style="1" width="3"/>
    <col collapsed="false" customWidth="true" hidden="false" outlineLevel="0" max="8" min="8" style="1" width="27"/>
    <col collapsed="false" customWidth="true" hidden="false" outlineLevel="0" max="9" min="9" style="1" width="22"/>
    <col collapsed="false" customWidth="true" hidden="false" outlineLevel="0" max="11" min="10" style="1" width="13"/>
    <col collapsed="false" customWidth="true" hidden="true" outlineLevel="0" max="14" min="14" style="1" width="13"/>
  </cols>
  <sheetData>
    <row r="1" customFormat="false" ht="45" hidden="false" customHeight="true" outlineLevel="0" collapsed="false">
      <c r="A1" s="19"/>
      <c r="B1" s="19"/>
      <c r="C1" s="19"/>
      <c r="D1" s="20" t="s">
        <v>92</v>
      </c>
      <c r="E1" s="20"/>
      <c r="F1" s="20"/>
      <c r="G1" s="20"/>
      <c r="H1" s="20"/>
      <c r="I1" s="19"/>
      <c r="J1" s="19"/>
      <c r="K1" s="19"/>
      <c r="L1" s="21" t="s">
        <v>93</v>
      </c>
      <c r="M1" s="21" t="s">
        <v>94</v>
      </c>
      <c r="N1" s="22" t="s">
        <v>95</v>
      </c>
    </row>
    <row r="2" customFormat="false" ht="15" hidden="false" customHeight="true" outlineLevel="0" collapsed="false">
      <c r="A2" s="19"/>
      <c r="B2" s="19"/>
      <c r="C2" s="19"/>
      <c r="D2" s="19"/>
      <c r="E2" s="19"/>
      <c r="F2" s="19"/>
      <c r="G2" s="19"/>
      <c r="H2" s="19"/>
      <c r="I2" s="19"/>
      <c r="J2" s="19"/>
      <c r="K2" s="19"/>
      <c r="L2" s="19"/>
      <c r="M2" s="19"/>
    </row>
    <row r="3" customFormat="false" ht="24" hidden="false" customHeight="true" outlineLevel="0" collapsed="false">
      <c r="A3" s="23" t="s">
        <v>96</v>
      </c>
      <c r="B3" s="23"/>
      <c r="C3" s="23"/>
      <c r="D3" s="23"/>
      <c r="E3" s="23"/>
      <c r="F3" s="23"/>
      <c r="G3" s="19"/>
      <c r="H3" s="23" t="s">
        <v>97</v>
      </c>
      <c r="I3" s="23"/>
      <c r="J3" s="23"/>
      <c r="K3" s="23"/>
      <c r="L3" s="19"/>
      <c r="M3" s="19"/>
    </row>
    <row r="4" customFormat="false" ht="15" hidden="false" customHeight="true" outlineLevel="0" collapsed="false">
      <c r="A4" s="24" t="s">
        <v>98</v>
      </c>
      <c r="B4" s="25"/>
      <c r="C4" s="25"/>
      <c r="D4" s="25"/>
      <c r="E4" s="24" t="s">
        <v>99</v>
      </c>
      <c r="F4" s="26"/>
      <c r="G4" s="26"/>
      <c r="H4" s="27" t="s">
        <v>80</v>
      </c>
      <c r="I4" s="27" t="s">
        <v>100</v>
      </c>
      <c r="J4" s="27" t="s">
        <v>81</v>
      </c>
      <c r="K4" s="27" t="s">
        <v>101</v>
      </c>
      <c r="L4" s="19"/>
      <c r="M4" s="19"/>
      <c r="N4" s="28" t="n">
        <f aca="false">IF(COUNTIF(Data!$A$118:$A$314,B5)&gt;0,INDEX(Data!$B$118:$B$314,MATCH(B5,Data!$A$118:$A$314,0)),B5)</f>
        <v>0</v>
      </c>
    </row>
    <row r="5" customFormat="false" ht="15" hidden="false" customHeight="true" outlineLevel="0" collapsed="false">
      <c r="A5" s="24" t="str">
        <f aca="false">IF(B4="Cat","Hair Type","Coat Type / Breed")</f>
        <v>Coat Type / Breed</v>
      </c>
      <c r="B5" s="25"/>
      <c r="C5" s="25"/>
      <c r="D5" s="25"/>
      <c r="E5" s="19"/>
      <c r="F5" s="19"/>
      <c r="G5" s="19"/>
      <c r="H5" s="29" t="s">
        <v>102</v>
      </c>
      <c r="I5" s="29" t="str">
        <f aca="false">IF(AND(N4="",B6=""),"—",N4&amp;" / "&amp;B6)</f>
        <v>—</v>
      </c>
      <c r="J5" s="30" t="n">
        <f aca="false">IF(OR(B4="",N4="",B6=""),0,ROUND(IF(B4="Dog",Data!$B$2,Data!$E$2)*IFERROR(IFERROR(INDEX(Data!$B$7:$B$16,MATCH(N4,Data!$A$7:$A$16,0)),INDEX(Data!$B$21:$B$22,MATCH(N4,Data!$A$21:$A$22,0))),0)*IFERROR(INDEX(Data!$C$27:$C$31,MATCH(B6,Data!$A$27:$A$31,0)),1),0))</f>
        <v>0</v>
      </c>
      <c r="K5" s="31" t="n">
        <f aca="false">IF(B4="",0,IF(B4="Dog",Data!$B$3,IF(Data!$E$3="⚠ TBD",0,Data!$E$3)))</f>
        <v>0</v>
      </c>
      <c r="L5" s="19"/>
      <c r="M5" s="19"/>
    </row>
    <row r="6" customFormat="false" ht="15" hidden="false" customHeight="true" outlineLevel="0" collapsed="false">
      <c r="A6" s="24" t="s">
        <v>103</v>
      </c>
      <c r="B6" s="25"/>
      <c r="C6" s="25"/>
      <c r="D6" s="25"/>
      <c r="E6" s="19"/>
      <c r="F6" s="19"/>
      <c r="G6" s="19"/>
      <c r="H6" s="29" t="s">
        <v>104</v>
      </c>
      <c r="I6" s="29" t="str">
        <f aca="false">IF(B7="Yes","Senior pet","—")</f>
        <v>—</v>
      </c>
      <c r="J6" s="30" t="n">
        <f aca="false">IF(B7="Yes",IF(B4="Dog",Data!$B$36,Data!$B$37),0)</f>
        <v>0</v>
      </c>
      <c r="K6" s="31" t="n">
        <f aca="false">IF(B7="Yes",15,0)</f>
        <v>0</v>
      </c>
      <c r="L6" s="19"/>
      <c r="M6" s="19"/>
    </row>
    <row r="7" customFormat="false" ht="30" hidden="false" customHeight="true" outlineLevel="0" collapsed="false">
      <c r="A7" s="32" t="s">
        <v>105</v>
      </c>
      <c r="B7" s="25"/>
      <c r="C7" s="25"/>
      <c r="D7" s="25"/>
      <c r="E7" s="19"/>
      <c r="F7" s="19"/>
      <c r="G7" s="19"/>
      <c r="H7" s="29" t="s">
        <v>106</v>
      </c>
      <c r="I7" s="29" t="str">
        <f aca="false">IF(B4="Dog",IF(B10="","None selected",B10),IF(B4="Cat",IF(B13="","None selected",B13),"None selected"))</f>
        <v>None selected</v>
      </c>
      <c r="J7" s="30" t="n">
        <f aca="false">IF(B4="Dog",IF(B10="",0,ROUND(Data!$H$1*IFERROR(INDEX(Data!$B$7:$B$16,MATCH(N4,Data!$A$7:$A$16,0)),1),0)+IF(B10="Profile Cut",7,0)),IF(B4="Cat",IFERROR(INDEX(Data!$B$109:$B$113,MATCH(B13,Data!$A$109:$A$113,0)),0),0))</f>
        <v>0</v>
      </c>
      <c r="K7" s="31" t="n">
        <f aca="false">IF(B4="Dog",IF(B10="",0,30),IF(B4="Cat",IF(B13="",0,30),0))</f>
        <v>0</v>
      </c>
      <c r="L7" s="19"/>
      <c r="M7" s="19"/>
    </row>
    <row r="8" customFormat="false" ht="30" hidden="false" customHeight="true" outlineLevel="0" collapsed="false">
      <c r="A8" s="33"/>
      <c r="B8" s="34"/>
      <c r="C8" s="10"/>
      <c r="D8" s="10"/>
      <c r="E8" s="10"/>
      <c r="F8" s="10"/>
      <c r="G8" s="10"/>
      <c r="H8" s="10"/>
      <c r="I8" s="10"/>
      <c r="J8" s="35"/>
      <c r="K8" s="36"/>
      <c r="L8" s="19"/>
      <c r="M8" s="19"/>
    </row>
    <row r="9" customFormat="false" ht="24" hidden="false" customHeight="true" outlineLevel="0" collapsed="false">
      <c r="A9" s="23" t="s">
        <v>107</v>
      </c>
      <c r="B9" s="23"/>
      <c r="C9" s="23"/>
      <c r="D9" s="23"/>
      <c r="E9" s="23"/>
      <c r="F9" s="23"/>
      <c r="G9" s="19"/>
      <c r="H9" s="37" t="s">
        <v>108</v>
      </c>
      <c r="I9" s="37"/>
      <c r="J9" s="38" t="n">
        <f aca="false">J5+J6+J7</f>
        <v>0</v>
      </c>
      <c r="K9" s="39" t="n">
        <f aca="false">K5+K6+K7</f>
        <v>0</v>
      </c>
      <c r="L9" s="19"/>
      <c r="M9" s="19"/>
    </row>
    <row r="10" customFormat="false" ht="15" hidden="false" customHeight="true" outlineLevel="0" collapsed="false">
      <c r="A10" s="24" t="s">
        <v>109</v>
      </c>
      <c r="B10" s="25"/>
      <c r="C10" s="25"/>
      <c r="D10" s="25"/>
      <c r="E10" s="19"/>
      <c r="F10" s="19"/>
      <c r="G10" s="19"/>
      <c r="H10" s="19"/>
      <c r="I10" s="19"/>
      <c r="J10" s="19"/>
      <c r="K10" s="19"/>
      <c r="L10" s="19"/>
      <c r="M10" s="19"/>
    </row>
    <row r="11" customFormat="false" ht="15" hidden="false" customHeight="true" outlineLevel="0" collapsed="false">
      <c r="A11" s="40" t="str">
        <f aca="false">IF(AND(B4="Cat",B10&lt;&gt;""),"⚠ Standard Services (Profile Cut, Puppy Cut, Shave Down, Deshedding) are not offered for cats — please clear this selection.",IF(AND(B4="Dog",B13&lt;&gt;""),"⚠ Cat-Specific Services are not offered for dogs — please clear this selection.",IF(AND(B10="Shave Down",ISNUMBER(SEARCH("husky",B5))),"🛑 DO NOT SHAVE — Husky detected. Use Profile Cut (light tidy) instead. Huskies should never be fully shaved.",IF(AND(B10="Shave Down",COUNTIF(Data!$A$50:$A$54,N4)&gt;0),"⚠ Shave Down is not recommended for this coat type — Profile Cut is the safe alternative for double-coated/feathered breeds.",IF(AND(B10="Shave Down",N4="Short Double Coat",NOT(ISNUMBER(SEARCH("husky",B5)))),"⚠ Reminder: if this is a Husky, select it by name above instead of just the coat type, to get a stronger warning.","")))))</f>
        <v/>
      </c>
      <c r="B11" s="40"/>
      <c r="C11" s="40"/>
      <c r="D11" s="40"/>
      <c r="E11" s="40"/>
      <c r="F11" s="40"/>
      <c r="G11" s="19"/>
      <c r="H11" s="29" t="s">
        <v>110</v>
      </c>
      <c r="I11" s="41" t="str">
        <f aca="false">SUMPRODUCT((A16:A33&lt;&gt;"")*1)&amp;" selected"</f>
        <v>0 selected</v>
      </c>
      <c r="J11" s="30" t="n">
        <f aca="false">SUMPRODUCT((A16:A33&lt;&gt;"")*D16:D33)</f>
        <v>0</v>
      </c>
      <c r="K11" s="31" t="n">
        <f aca="false">SUMPRODUCT((A16:A33&lt;&gt;"")*Data!$C$60:$C$77)</f>
        <v>0</v>
      </c>
      <c r="L11" s="19"/>
      <c r="M11" s="19"/>
    </row>
    <row r="12" customFormat="false" ht="15" hidden="false" customHeight="true" outlineLevel="0" collapsed="false">
      <c r="A12" s="40"/>
      <c r="B12" s="40"/>
      <c r="C12" s="40"/>
      <c r="D12" s="40"/>
      <c r="E12" s="40"/>
      <c r="F12" s="40"/>
      <c r="G12" s="19"/>
      <c r="H12" s="29" t="s">
        <v>111</v>
      </c>
      <c r="I12" s="41" t="str">
        <f aca="false">IF(B35="","None",B35)</f>
        <v>None</v>
      </c>
      <c r="J12" s="30" t="n">
        <f aca="false">IFERROR(INDEX(Data!$B$82:$B$85,MATCH(B35,Data!$A$82:$A$85,0)),0)</f>
        <v>0</v>
      </c>
      <c r="K12" s="31" t="n">
        <f aca="false">IFERROR(INDEX(Data!$C$82:$C$85,MATCH(B35,Data!$A$82:$A$85,0)),0)</f>
        <v>0</v>
      </c>
      <c r="L12" s="19"/>
      <c r="M12" s="19"/>
    </row>
    <row r="13" customFormat="false" ht="15" hidden="false" customHeight="true" outlineLevel="0" collapsed="false">
      <c r="A13" s="5" t="s">
        <v>112</v>
      </c>
      <c r="B13" s="26"/>
      <c r="C13" s="26"/>
      <c r="D13" s="26"/>
      <c r="E13" s="10"/>
      <c r="F13" s="34"/>
      <c r="G13" s="10"/>
      <c r="H13" s="29" t="s">
        <v>87</v>
      </c>
      <c r="I13" s="41" t="str">
        <f aca="false">IF(B41="Yes","Applied","—")</f>
        <v>—</v>
      </c>
      <c r="J13" s="30" t="n">
        <f aca="false">IF(B41="Yes",Data!$B$90,0)</f>
        <v>0</v>
      </c>
      <c r="K13" s="31" t="n">
        <v>0</v>
      </c>
      <c r="L13" s="19"/>
      <c r="M13" s="19"/>
    </row>
    <row r="14" customFormat="false" ht="24" hidden="false" customHeight="true" outlineLevel="0" collapsed="false">
      <c r="A14" s="23" t="s">
        <v>113</v>
      </c>
      <c r="B14" s="23"/>
      <c r="C14" s="23"/>
      <c r="D14" s="23"/>
      <c r="E14" s="23"/>
      <c r="F14" s="23"/>
      <c r="G14" s="19"/>
      <c r="H14" s="37" t="s">
        <v>114</v>
      </c>
      <c r="I14" s="37" t="str">
        <f aca="false">IF(B36="Yes","+30 min groomer override applied","")</f>
        <v/>
      </c>
      <c r="J14" s="38" t="n">
        <f aca="false">J9+J11+J12+J13</f>
        <v>0</v>
      </c>
      <c r="K14" s="39" t="n">
        <f aca="false">K9+K11+K12+IF(B36="Yes",30,0)</f>
        <v>0</v>
      </c>
      <c r="L14" s="19"/>
      <c r="M14" s="19"/>
    </row>
    <row r="15" customFormat="false" ht="15" hidden="false" customHeight="true" outlineLevel="0" collapsed="false">
      <c r="A15" s="27" t="s">
        <v>115</v>
      </c>
      <c r="B15" s="42" t="s">
        <v>116</v>
      </c>
      <c r="C15" s="42"/>
      <c r="D15" s="27" t="s">
        <v>117</v>
      </c>
      <c r="E15" s="42" t="s">
        <v>118</v>
      </c>
      <c r="F15" s="42"/>
      <c r="G15" s="19"/>
      <c r="H15" s="29" t="s">
        <v>88</v>
      </c>
      <c r="I15" s="41" t="str">
        <f aca="false">IF(B39="","None",IF(B38="Percentage",B39&amp;"%","$"&amp;B39&amp;" fixed"))</f>
        <v>0%</v>
      </c>
      <c r="J15" s="43" t="n">
        <f aca="false">IF(OR(B39="",B38=""),0,IF(B38="Percentage",J14*B39/100,MIN(B39,J14)))</f>
        <v>0</v>
      </c>
      <c r="K15" s="41" t="n">
        <v>0</v>
      </c>
      <c r="L15" s="19"/>
      <c r="M15" s="19"/>
    </row>
    <row r="16" customFormat="false" ht="15" hidden="false" customHeight="true" outlineLevel="0" collapsed="false">
      <c r="A16" s="44"/>
      <c r="B16" s="29" t="str">
        <f aca="false">Data!A60</f>
        <v>Hot Aloe SPA Treatment (0-30 lbs)</v>
      </c>
      <c r="C16" s="29"/>
      <c r="D16" s="45" t="n">
        <f aca="false">Data!B60</f>
        <v>20</v>
      </c>
      <c r="E16" s="46" t="str">
        <f aca="false">IF(Data!C60=0,"—",Data!C60&amp;" min")</f>
        <v>15 min</v>
      </c>
      <c r="F16" s="46"/>
      <c r="G16" s="19"/>
      <c r="H16" s="19"/>
      <c r="I16" s="19"/>
      <c r="J16" s="19"/>
      <c r="K16" s="19"/>
      <c r="L16" s="19"/>
      <c r="M16" s="19"/>
    </row>
    <row r="17" customFormat="false" ht="33.75" hidden="false" customHeight="true" outlineLevel="0" collapsed="false">
      <c r="A17" s="47"/>
      <c r="B17" s="48" t="str">
        <f aca="false">Data!A61</f>
        <v>Hot Aloe SPA Treatment (31-60 lbs)</v>
      </c>
      <c r="C17" s="48"/>
      <c r="D17" s="49" t="n">
        <f aca="false">Data!B61</f>
        <v>25</v>
      </c>
      <c r="E17" s="50" t="str">
        <f aca="false">IF(Data!C61=0,"—",Data!C61&amp;" min")</f>
        <v>15 min</v>
      </c>
      <c r="F17" s="50"/>
      <c r="G17" s="19"/>
      <c r="H17" s="51" t="s">
        <v>119</v>
      </c>
      <c r="I17" s="51"/>
      <c r="J17" s="52" t="n">
        <f aca="false">ROUND(MAX(J14-J15,0),0)</f>
        <v>0</v>
      </c>
      <c r="K17" s="52"/>
      <c r="L17" s="19"/>
      <c r="M17" s="19"/>
    </row>
    <row r="18" customFormat="false" ht="27.75" hidden="false" customHeight="true" outlineLevel="0" collapsed="false">
      <c r="A18" s="44"/>
      <c r="B18" s="29" t="str">
        <f aca="false">Data!A62</f>
        <v>Hot Aloe SPA Treatment (60+ lbs)</v>
      </c>
      <c r="C18" s="29"/>
      <c r="D18" s="45" t="n">
        <f aca="false">Data!B62</f>
        <v>30</v>
      </c>
      <c r="E18" s="46" t="str">
        <f aca="false">IF(Data!C62=0,"—",Data!C62&amp;" min")</f>
        <v>15 min</v>
      </c>
      <c r="F18" s="46"/>
      <c r="G18" s="19"/>
      <c r="H18" s="53" t="s">
        <v>120</v>
      </c>
      <c r="I18" s="53"/>
      <c r="J18" s="54" t="str">
        <f aca="false">IF(K14&lt;60,K14&amp;" min",INT(K14/60)&amp;" hr "&amp;MOD(K14,60)&amp;" min")</f>
        <v>0 min</v>
      </c>
      <c r="K18" s="54"/>
      <c r="L18" s="19"/>
      <c r="M18" s="19"/>
    </row>
    <row r="19" customFormat="false" ht="15" hidden="false" customHeight="true" outlineLevel="0" collapsed="false">
      <c r="A19" s="47"/>
      <c r="B19" s="48" t="str">
        <f aca="false">Data!A63</f>
        <v>De-Shedding Treatment (0-30 lbs)</v>
      </c>
      <c r="C19" s="48"/>
      <c r="D19" s="49" t="n">
        <f aca="false">Data!B63</f>
        <v>20</v>
      </c>
      <c r="E19" s="50" t="str">
        <f aca="false">IF(Data!C63=0,"—",Data!C63&amp;" min")</f>
        <v>15 min</v>
      </c>
      <c r="F19" s="50"/>
      <c r="G19" s="19"/>
      <c r="H19" s="19"/>
      <c r="I19" s="19"/>
      <c r="J19" s="19"/>
      <c r="K19" s="19"/>
      <c r="L19" s="19"/>
      <c r="M19" s="19"/>
    </row>
    <row r="20" customFormat="false" ht="15" hidden="false" customHeight="true" outlineLevel="0" collapsed="false">
      <c r="A20" s="44"/>
      <c r="B20" s="29" t="str">
        <f aca="false">Data!A64</f>
        <v>De-Shedding Treatment (30-60 lbs)</v>
      </c>
      <c r="C20" s="29"/>
      <c r="D20" s="45" t="n">
        <f aca="false">Data!B64</f>
        <v>25</v>
      </c>
      <c r="E20" s="46" t="str">
        <f aca="false">IF(Data!C64=0,"—",Data!C64&amp;" min")</f>
        <v>15 min</v>
      </c>
      <c r="F20" s="46"/>
      <c r="G20" s="19"/>
      <c r="H20" s="19"/>
      <c r="I20" s="19"/>
      <c r="J20" s="19"/>
      <c r="K20" s="19"/>
      <c r="L20" s="19"/>
      <c r="M20" s="19"/>
    </row>
    <row r="21" customFormat="false" ht="15" hidden="false" customHeight="true" outlineLevel="0" collapsed="false">
      <c r="A21" s="47"/>
      <c r="B21" s="48" t="str">
        <f aca="false">Data!A65</f>
        <v>De-Shedding Treatment (60-100 lbs)</v>
      </c>
      <c r="C21" s="48"/>
      <c r="D21" s="49" t="n">
        <f aca="false">Data!B65</f>
        <v>30</v>
      </c>
      <c r="E21" s="50" t="str">
        <f aca="false">IF(Data!C65=0,"—",Data!C65&amp;" min")</f>
        <v>15 min</v>
      </c>
      <c r="F21" s="50"/>
      <c r="G21" s="19"/>
      <c r="H21" s="19"/>
      <c r="I21" s="19"/>
      <c r="J21" s="19"/>
      <c r="K21" s="19"/>
      <c r="L21" s="19"/>
      <c r="M21" s="19"/>
    </row>
    <row r="22" customFormat="false" ht="15" hidden="false" customHeight="true" outlineLevel="0" collapsed="false">
      <c r="A22" s="44"/>
      <c r="B22" s="29" t="str">
        <f aca="false">Data!A66</f>
        <v>De-Shedding Treatment (101+ lbs)</v>
      </c>
      <c r="C22" s="29"/>
      <c r="D22" s="45" t="n">
        <f aca="false">Data!B66</f>
        <v>40</v>
      </c>
      <c r="E22" s="46" t="str">
        <f aca="false">IF(Data!C66=0,"—",Data!C66&amp;" min")</f>
        <v>15 min</v>
      </c>
      <c r="F22" s="46"/>
      <c r="G22" s="19"/>
      <c r="H22" s="19"/>
      <c r="I22" s="19"/>
      <c r="J22" s="19"/>
      <c r="K22" s="19"/>
      <c r="L22" s="19"/>
      <c r="M22" s="19"/>
    </row>
    <row r="23" customFormat="false" ht="15" hidden="false" customHeight="true" outlineLevel="0" collapsed="false">
      <c r="A23" s="47"/>
      <c r="B23" s="48" t="str">
        <f aca="false">Data!A67</f>
        <v>Flea Clean-Up &amp; Van Fumigation</v>
      </c>
      <c r="C23" s="48"/>
      <c r="D23" s="49" t="n">
        <f aca="false">Data!B67</f>
        <v>30</v>
      </c>
      <c r="E23" s="50" t="str">
        <f aca="false">IF(Data!C67=0,"—",Data!C67&amp;" min")</f>
        <v>15 min</v>
      </c>
      <c r="F23" s="50"/>
      <c r="G23" s="19"/>
      <c r="H23" s="19"/>
      <c r="I23" s="19"/>
      <c r="J23" s="19"/>
      <c r="K23" s="19"/>
      <c r="L23" s="19"/>
      <c r="M23" s="19"/>
    </row>
    <row r="24" customFormat="false" ht="15" hidden="false" customHeight="true" outlineLevel="0" collapsed="false">
      <c r="A24" s="44"/>
      <c r="B24" s="29" t="str">
        <f aca="false">Data!A68</f>
        <v>Flea Elimination Shampoo</v>
      </c>
      <c r="C24" s="29"/>
      <c r="D24" s="45" t="n">
        <f aca="false">Data!B68</f>
        <v>20</v>
      </c>
      <c r="E24" s="46" t="str">
        <f aca="false">IF(Data!C68=0,"—",Data!C68&amp;" min")</f>
        <v>15 min</v>
      </c>
      <c r="F24" s="46"/>
      <c r="G24" s="19"/>
      <c r="H24" s="19"/>
      <c r="I24" s="19"/>
      <c r="J24" s="19"/>
      <c r="K24" s="19"/>
      <c r="L24" s="19"/>
      <c r="M24" s="19"/>
    </row>
    <row r="25" customFormat="false" ht="15" hidden="false" customHeight="true" outlineLevel="0" collapsed="false">
      <c r="A25" s="47"/>
      <c r="B25" s="48" t="str">
        <f aca="false">Data!A69</f>
        <v>Flea &amp; Tick Treatment Drops</v>
      </c>
      <c r="C25" s="48"/>
      <c r="D25" s="49" t="n">
        <f aca="false">Data!B69</f>
        <v>30</v>
      </c>
      <c r="E25" s="50" t="str">
        <f aca="false">IF(Data!C69=0,"—",Data!C69&amp;" min")</f>
        <v>15 min</v>
      </c>
      <c r="F25" s="50"/>
      <c r="G25" s="19"/>
      <c r="H25" s="19"/>
      <c r="I25" s="19"/>
      <c r="J25" s="19"/>
      <c r="K25" s="19"/>
      <c r="L25" s="19"/>
      <c r="M25" s="19"/>
    </row>
    <row r="26" customFormat="false" ht="15" hidden="false" customHeight="true" outlineLevel="0" collapsed="false">
      <c r="A26" s="44"/>
      <c r="B26" s="29" t="str">
        <f aca="false">Data!A70</f>
        <v>Flea Removal</v>
      </c>
      <c r="C26" s="29"/>
      <c r="D26" s="45" t="n">
        <f aca="false">Data!B70</f>
        <v>20</v>
      </c>
      <c r="E26" s="46" t="str">
        <f aca="false">IF(Data!C70=0,"—",Data!C70&amp;" min")</f>
        <v>15 min</v>
      </c>
      <c r="F26" s="46"/>
      <c r="G26" s="19"/>
      <c r="H26" s="19"/>
      <c r="I26" s="19"/>
      <c r="J26" s="19"/>
      <c r="K26" s="19"/>
      <c r="L26" s="19"/>
      <c r="M26" s="19"/>
    </row>
    <row r="27" customFormat="false" ht="15" hidden="false" customHeight="true" outlineLevel="0" collapsed="false">
      <c r="A27" s="47"/>
      <c r="B27" s="48" t="str">
        <f aca="false">Data!A71</f>
        <v>Nail Trim - Extra (Dog)</v>
      </c>
      <c r="C27" s="48"/>
      <c r="D27" s="49" t="n">
        <f aca="false">Data!B71</f>
        <v>10</v>
      </c>
      <c r="E27" s="50" t="str">
        <f aca="false">IF(Data!C71=0,"—",Data!C71&amp;" min")</f>
        <v>15 min</v>
      </c>
      <c r="F27" s="50"/>
      <c r="G27" s="19"/>
      <c r="H27" s="19"/>
      <c r="I27" s="19"/>
      <c r="J27" s="19"/>
      <c r="K27" s="19"/>
      <c r="L27" s="19"/>
      <c r="M27" s="19"/>
    </row>
    <row r="28" customFormat="false" ht="15" hidden="false" customHeight="true" outlineLevel="0" collapsed="false">
      <c r="A28" s="44"/>
      <c r="B28" s="29" t="str">
        <f aca="false">Data!A72</f>
        <v>Paw Pad Treatment</v>
      </c>
      <c r="C28" s="29"/>
      <c r="D28" s="45" t="n">
        <f aca="false">Data!B72</f>
        <v>10</v>
      </c>
      <c r="E28" s="46" t="str">
        <f aca="false">IF(Data!C72=0,"—",Data!C72&amp;" min")</f>
        <v>15 min</v>
      </c>
      <c r="F28" s="46"/>
      <c r="G28" s="19"/>
      <c r="H28" s="19"/>
      <c r="I28" s="19"/>
      <c r="J28" s="19"/>
      <c r="K28" s="19"/>
      <c r="L28" s="19"/>
      <c r="M28" s="19"/>
    </row>
    <row r="29" customFormat="false" ht="15" hidden="false" customHeight="true" outlineLevel="0" collapsed="false">
      <c r="A29" s="47"/>
      <c r="B29" s="48" t="str">
        <f aca="false">Data!A73</f>
        <v>Teeth Brushing (Dogs Only)</v>
      </c>
      <c r="C29" s="48"/>
      <c r="D29" s="49" t="n">
        <f aca="false">Data!B73</f>
        <v>10</v>
      </c>
      <c r="E29" s="50" t="str">
        <f aca="false">IF(Data!C73=0,"—",Data!C73&amp;" min")</f>
        <v>15 min</v>
      </c>
      <c r="F29" s="50"/>
      <c r="G29" s="19"/>
      <c r="H29" s="19"/>
      <c r="I29" s="19"/>
      <c r="J29" s="19"/>
      <c r="K29" s="19"/>
      <c r="L29" s="19"/>
      <c r="M29" s="19"/>
    </row>
    <row r="30" customFormat="false" ht="15" hidden="false" customHeight="true" outlineLevel="0" collapsed="false">
      <c r="A30" s="44"/>
      <c r="B30" s="29" t="str">
        <f aca="false">Data!A74</f>
        <v>Nail Trim - Extra (Cat)</v>
      </c>
      <c r="C30" s="29"/>
      <c r="D30" s="45" t="n">
        <f aca="false">Data!B74</f>
        <v>10</v>
      </c>
      <c r="E30" s="46" t="str">
        <f aca="false">IF(Data!C74=0,"—",Data!C74&amp;" min")</f>
        <v>15 min</v>
      </c>
      <c r="F30" s="46"/>
      <c r="G30" s="19"/>
      <c r="H30" s="19"/>
      <c r="I30" s="19"/>
      <c r="J30" s="19"/>
      <c r="K30" s="19"/>
      <c r="L30" s="19"/>
      <c r="M30" s="19"/>
    </row>
    <row r="31" customFormat="false" ht="15" hidden="false" customHeight="true" outlineLevel="0" collapsed="false">
      <c r="A31" s="47"/>
      <c r="B31" s="48" t="str">
        <f aca="false">Data!A75</f>
        <v>Blueberry Facial</v>
      </c>
      <c r="C31" s="48"/>
      <c r="D31" s="49" t="n">
        <f aca="false">Data!B75</f>
        <v>10</v>
      </c>
      <c r="E31" s="50" t="str">
        <f aca="false">IF(Data!C75=0,"—",Data!C75&amp;" min")</f>
        <v>15 min</v>
      </c>
      <c r="F31" s="50"/>
      <c r="G31" s="19"/>
      <c r="H31" s="19"/>
      <c r="I31" s="19"/>
      <c r="J31" s="19"/>
      <c r="K31" s="19"/>
      <c r="L31" s="19"/>
      <c r="M31" s="19"/>
    </row>
    <row r="32" customFormat="false" ht="15" hidden="false" customHeight="true" outlineLevel="0" collapsed="false">
      <c r="A32" s="44"/>
      <c r="B32" s="29" t="str">
        <f aca="false">Data!A76</f>
        <v>Oatmeal Shampoo (Skin Irritation)</v>
      </c>
      <c r="C32" s="29"/>
      <c r="D32" s="45" t="n">
        <f aca="false">Data!B76</f>
        <v>10</v>
      </c>
      <c r="E32" s="46" t="str">
        <f aca="false">IF(Data!C76=0,"—",Data!C76&amp;" min")</f>
        <v>15 min</v>
      </c>
      <c r="F32" s="46"/>
      <c r="G32" s="19"/>
      <c r="H32" s="19"/>
      <c r="I32" s="19"/>
      <c r="J32" s="19"/>
      <c r="K32" s="19"/>
      <c r="L32" s="19"/>
      <c r="M32" s="19"/>
    </row>
    <row r="33" customFormat="false" ht="15" hidden="false" customHeight="true" outlineLevel="0" collapsed="false">
      <c r="A33" s="47"/>
      <c r="B33" s="48" t="str">
        <f aca="false">Data!A77</f>
        <v>Whitening Shampoo</v>
      </c>
      <c r="C33" s="48"/>
      <c r="D33" s="49" t="n">
        <f aca="false">Data!B77</f>
        <v>10</v>
      </c>
      <c r="E33" s="50" t="str">
        <f aca="false">IF(Data!C77=0,"—",Data!C77&amp;" min")</f>
        <v>15 min</v>
      </c>
      <c r="F33" s="50"/>
      <c r="G33" s="19"/>
      <c r="H33" s="19"/>
      <c r="I33" s="19"/>
      <c r="J33" s="19"/>
      <c r="K33" s="19"/>
      <c r="L33" s="19"/>
      <c r="M33" s="19"/>
    </row>
    <row r="34" customFormat="false" ht="15" hidden="false" customHeight="true" outlineLevel="0" collapsed="false">
      <c r="A34" s="19"/>
      <c r="B34" s="19"/>
      <c r="C34" s="19"/>
      <c r="D34" s="19"/>
      <c r="E34" s="19"/>
      <c r="F34" s="19"/>
      <c r="G34" s="19"/>
      <c r="H34" s="19"/>
      <c r="I34" s="19"/>
      <c r="J34" s="19"/>
      <c r="K34" s="19"/>
      <c r="L34" s="19"/>
      <c r="M34" s="19"/>
    </row>
    <row r="35" customFormat="false" ht="15" hidden="false" customHeight="true" outlineLevel="0" collapsed="false">
      <c r="A35" s="24" t="s">
        <v>121</v>
      </c>
      <c r="B35" s="25"/>
      <c r="C35" s="25"/>
      <c r="D35" s="25"/>
      <c r="E35" s="19"/>
      <c r="F35" s="19"/>
      <c r="G35" s="19"/>
      <c r="H35" s="19"/>
      <c r="I35" s="19"/>
      <c r="J35" s="19"/>
      <c r="K35" s="19"/>
      <c r="L35" s="19"/>
      <c r="M35" s="19"/>
    </row>
    <row r="36" customFormat="false" ht="30" hidden="false" customHeight="true" outlineLevel="0" collapsed="false">
      <c r="A36" s="32" t="s">
        <v>122</v>
      </c>
      <c r="B36" s="26" t="s">
        <v>123</v>
      </c>
      <c r="C36" s="26"/>
      <c r="D36" s="26"/>
      <c r="E36" s="19"/>
      <c r="F36" s="19"/>
      <c r="G36" s="19"/>
      <c r="H36" s="19"/>
      <c r="I36" s="19"/>
      <c r="J36" s="19"/>
      <c r="K36" s="19"/>
      <c r="L36" s="19"/>
      <c r="M36" s="19"/>
    </row>
    <row r="37" customFormat="false" ht="24" hidden="false" customHeight="true" outlineLevel="0" collapsed="false">
      <c r="A37" s="23" t="s">
        <v>124</v>
      </c>
      <c r="B37" s="23"/>
      <c r="C37" s="23"/>
      <c r="D37" s="23"/>
      <c r="E37" s="23"/>
      <c r="F37" s="23"/>
      <c r="G37" s="19"/>
      <c r="H37" s="19"/>
      <c r="I37" s="19"/>
      <c r="J37" s="19"/>
      <c r="K37" s="19"/>
      <c r="L37" s="19"/>
      <c r="M37" s="19"/>
    </row>
    <row r="38" customFormat="false" ht="15" hidden="false" customHeight="true" outlineLevel="0" collapsed="false">
      <c r="A38" s="24" t="s">
        <v>125</v>
      </c>
      <c r="B38" s="55" t="s">
        <v>126</v>
      </c>
      <c r="C38" s="55"/>
      <c r="D38" s="55"/>
      <c r="E38" s="19"/>
      <c r="F38" s="19"/>
      <c r="G38" s="19"/>
      <c r="H38" s="19"/>
      <c r="I38" s="19"/>
      <c r="J38" s="19"/>
      <c r="K38" s="19"/>
      <c r="L38" s="19"/>
      <c r="M38" s="19"/>
    </row>
    <row r="39" customFormat="false" ht="15" hidden="false" customHeight="true" outlineLevel="0" collapsed="false">
      <c r="A39" s="24" t="s">
        <v>127</v>
      </c>
      <c r="B39" s="25" t="n">
        <v>0</v>
      </c>
      <c r="C39" s="25"/>
      <c r="D39" s="56" t="str">
        <f aca="false">IF(B38="Percentage","%","$")</f>
        <v>%</v>
      </c>
      <c r="E39" s="19"/>
      <c r="F39" s="19"/>
      <c r="G39" s="19"/>
      <c r="H39" s="19"/>
      <c r="I39" s="19"/>
      <c r="J39" s="19"/>
      <c r="K39" s="19"/>
      <c r="L39" s="19"/>
      <c r="M39" s="19"/>
    </row>
    <row r="40" customFormat="false" ht="15" hidden="false" customHeight="true" outlineLevel="0" collapsed="false">
      <c r="A40" s="19"/>
      <c r="B40" s="19"/>
      <c r="C40" s="19"/>
      <c r="D40" s="19"/>
      <c r="E40" s="19"/>
      <c r="F40" s="19"/>
      <c r="G40" s="19"/>
      <c r="H40" s="19"/>
      <c r="I40" s="19"/>
      <c r="J40" s="19"/>
      <c r="K40" s="19"/>
      <c r="L40" s="19"/>
      <c r="M40" s="19"/>
    </row>
    <row r="41" customFormat="false" ht="30" hidden="false" customHeight="true" outlineLevel="0" collapsed="false">
      <c r="A41" s="32" t="s">
        <v>128</v>
      </c>
      <c r="B41" s="25" t="s">
        <v>123</v>
      </c>
      <c r="C41" s="25"/>
      <c r="D41" s="25"/>
      <c r="E41" s="19"/>
      <c r="F41" s="19"/>
      <c r="G41" s="19"/>
      <c r="H41" s="19"/>
      <c r="I41" s="19"/>
      <c r="J41" s="19"/>
      <c r="K41" s="19"/>
      <c r="L41" s="19"/>
      <c r="M41" s="19"/>
    </row>
    <row r="42" customFormat="false" ht="15" hidden="false" customHeight="true" outlineLevel="0" collapsed="false">
      <c r="A42" s="19"/>
      <c r="B42" s="19"/>
      <c r="C42" s="19"/>
      <c r="D42" s="19"/>
      <c r="E42" s="19"/>
      <c r="F42" s="19"/>
      <c r="G42" s="19"/>
      <c r="H42" s="19"/>
      <c r="I42" s="19"/>
      <c r="J42" s="19"/>
      <c r="K42" s="19"/>
      <c r="L42" s="19"/>
      <c r="M42" s="19"/>
    </row>
    <row r="43" customFormat="false" ht="15" hidden="false" customHeight="true" outlineLevel="0" collapsed="false">
      <c r="A43" s="57" t="s">
        <v>129</v>
      </c>
      <c r="B43" s="57"/>
      <c r="C43" s="57"/>
      <c r="D43" s="57"/>
      <c r="E43" s="57"/>
      <c r="F43" s="57"/>
      <c r="G43" s="19"/>
      <c r="H43" s="19"/>
      <c r="I43" s="19"/>
      <c r="J43" s="19"/>
      <c r="K43" s="19"/>
      <c r="L43" s="19"/>
      <c r="M43" s="19"/>
    </row>
    <row r="44" customFormat="false" ht="15" hidden="false" customHeight="true" outlineLevel="0" collapsed="false">
      <c r="A44" s="57"/>
      <c r="B44" s="57"/>
      <c r="C44" s="57"/>
      <c r="D44" s="57"/>
      <c r="E44" s="57"/>
      <c r="F44" s="57"/>
      <c r="G44" s="19"/>
      <c r="H44" s="19"/>
      <c r="I44" s="19"/>
      <c r="J44" s="19"/>
      <c r="K44" s="19"/>
      <c r="L44" s="19"/>
      <c r="M44" s="19"/>
    </row>
    <row r="45" customFormat="false" ht="15" hidden="false" customHeight="true" outlineLevel="0" collapsed="false">
      <c r="A45" s="57"/>
      <c r="B45" s="57"/>
      <c r="C45" s="57"/>
      <c r="D45" s="57"/>
      <c r="E45" s="57"/>
      <c r="F45" s="57"/>
      <c r="G45" s="19"/>
      <c r="H45" s="19"/>
      <c r="I45" s="19"/>
      <c r="J45" s="19"/>
      <c r="K45" s="19"/>
      <c r="L45" s="19"/>
      <c r="M45" s="19"/>
    </row>
    <row r="46" customFormat="false" ht="15" hidden="false" customHeight="true" outlineLevel="0" collapsed="false">
      <c r="A46" s="19"/>
      <c r="B46" s="19"/>
      <c r="C46" s="19"/>
      <c r="D46" s="19"/>
      <c r="E46" s="19"/>
      <c r="F46" s="19"/>
      <c r="G46" s="19"/>
      <c r="H46" s="19"/>
      <c r="I46" s="19"/>
      <c r="J46" s="19"/>
      <c r="K46" s="19"/>
      <c r="L46" s="19"/>
      <c r="M46" s="19"/>
    </row>
    <row r="47" customFormat="false" ht="15" hidden="false" customHeight="true" outlineLevel="0" collapsed="false">
      <c r="A47" s="19"/>
      <c r="B47" s="19"/>
      <c r="C47" s="19"/>
      <c r="D47" s="19"/>
      <c r="E47" s="19"/>
      <c r="F47" s="19"/>
      <c r="G47" s="19"/>
      <c r="H47" s="19"/>
      <c r="I47" s="19"/>
      <c r="J47" s="19"/>
      <c r="K47" s="19"/>
      <c r="L47" s="19"/>
      <c r="M47" s="19"/>
    </row>
    <row r="48" customFormat="false" ht="15" hidden="false" customHeight="true" outlineLevel="0" collapsed="false">
      <c r="A48" s="19"/>
      <c r="B48" s="19"/>
      <c r="C48" s="19"/>
      <c r="D48" s="19"/>
      <c r="E48" s="19"/>
      <c r="F48" s="19"/>
      <c r="G48" s="19"/>
      <c r="H48" s="19"/>
      <c r="I48" s="19"/>
      <c r="J48" s="19"/>
      <c r="K48" s="19"/>
      <c r="L48" s="19"/>
      <c r="M48" s="19"/>
    </row>
    <row r="49" customFormat="false" ht="15" hidden="false" customHeight="true" outlineLevel="0" collapsed="false">
      <c r="A49" s="19"/>
      <c r="B49" s="19"/>
      <c r="C49" s="19"/>
      <c r="D49" s="19"/>
      <c r="E49" s="19"/>
      <c r="F49" s="19"/>
      <c r="G49" s="19"/>
      <c r="H49" s="19"/>
      <c r="I49" s="19"/>
      <c r="J49" s="19"/>
      <c r="K49" s="19"/>
      <c r="L49" s="19"/>
      <c r="M49" s="19"/>
    </row>
  </sheetData>
  <sheetProtection sheet="true" password="ef87"/>
  <mergeCells count="62">
    <mergeCell ref="D1:H1"/>
    <mergeCell ref="A3:F3"/>
    <mergeCell ref="H3:K3"/>
    <mergeCell ref="B4:D4"/>
    <mergeCell ref="F4:G4"/>
    <mergeCell ref="B5:D5"/>
    <mergeCell ref="B6:D6"/>
    <mergeCell ref="B7:D7"/>
    <mergeCell ref="A9:F9"/>
    <mergeCell ref="B10:D10"/>
    <mergeCell ref="A11:F12"/>
    <mergeCell ref="B13:D13"/>
    <mergeCell ref="A14:F14"/>
    <mergeCell ref="B15:C15"/>
    <mergeCell ref="E15:F15"/>
    <mergeCell ref="B16:C16"/>
    <mergeCell ref="E16:F16"/>
    <mergeCell ref="B17:C17"/>
    <mergeCell ref="E17:F17"/>
    <mergeCell ref="H17:I17"/>
    <mergeCell ref="J17:K17"/>
    <mergeCell ref="B18:C18"/>
    <mergeCell ref="E18:F18"/>
    <mergeCell ref="H18:I18"/>
    <mergeCell ref="J18:K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5:D35"/>
    <mergeCell ref="B36:D36"/>
    <mergeCell ref="A37:F37"/>
    <mergeCell ref="B38:D38"/>
    <mergeCell ref="B39:C39"/>
    <mergeCell ref="B41:D41"/>
    <mergeCell ref="A43:F45"/>
  </mergeCells>
  <dataValidations count="10">
    <dataValidation allowBlank="true" errorStyle="stop" operator="between" showDropDown="false" showErrorMessage="false" showInputMessage="false" sqref="B4" type="list">
      <formula1>"Dog,Cat"</formula1>
      <formula2>0</formula2>
    </dataValidation>
    <dataValidation allowBlank="true" errorStyle="stop" operator="between" showDropDown="false" showErrorMessage="false" showInputMessage="false" sqref="B5" type="list">
      <formula1>CoatHairTypeList</formula1>
      <formula2>0</formula2>
    </dataValidation>
    <dataValidation allowBlank="true" errorStyle="stop" operator="between" showDropDown="false" showErrorMessage="false" showInputMessage="false" sqref="B6" type="list">
      <formula1>SizeList</formula1>
      <formula2>0</formula2>
    </dataValidation>
    <dataValidation allowBlank="true" errorStyle="stop" operator="between" showDropDown="false" showErrorMessage="false" showInputMessage="false" sqref="B7 B41" type="list">
      <formula1>"Yes,No"</formula1>
      <formula2>0</formula2>
    </dataValidation>
    <dataValidation allowBlank="true" errorStyle="stop" operator="between" showDropDown="false" showErrorMessage="false" showInputMessage="false" sqref="B10" type="list">
      <formula1>StandardServiceList</formula1>
      <formula2>0</formula2>
    </dataValidation>
    <dataValidation allowBlank="true" errorStyle="stop" operator="between" showDropDown="false" showErrorMessage="false" showInputMessage="false" sqref="B35" type="list">
      <formula1>DeMattingList</formula1>
      <formula2>0</formula2>
    </dataValidation>
    <dataValidation allowBlank="true" errorStyle="stop" operator="between" showDropDown="false" showErrorMessage="false" showInputMessage="false" sqref="A16:A33" type="list">
      <formula1>"✓,"</formula1>
      <formula2>0</formula2>
    </dataValidation>
    <dataValidation allowBlank="true" errorStyle="stop" operator="between" showDropDown="false" showErrorMessage="false" showInputMessage="false" sqref="B38" type="list">
      <formula1>"Percentage,Fixed Amount"</formula1>
      <formula2>0</formula2>
    </dataValidation>
    <dataValidation allowBlank="true" errorStyle="stop" operator="between" showDropDown="false" showErrorMessage="false" showInputMessage="false" sqref="B36" type="list">
      <formula1>"Yes,No"</formula1>
      <formula2>0</formula2>
    </dataValidation>
    <dataValidation allowBlank="true" errorStyle="stop" operator="between" showDropDown="false" showErrorMessage="false" showInputMessage="false" sqref="B13" type="list">
      <formula1>CatServiceList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5"/>
    <col collapsed="false" customWidth="true" hidden="false" outlineLevel="0" max="3" min="3" style="1" width="12"/>
    <col collapsed="false" customWidth="true" hidden="false" outlineLevel="0" max="4" min="4" style="1" width="8"/>
    <col collapsed="false" customWidth="true" hidden="false" outlineLevel="0" max="5" min="5" style="1" width="20"/>
    <col collapsed="false" customWidth="true" hidden="false" outlineLevel="0" max="6" min="6" style="1" width="9"/>
    <col collapsed="false" customWidth="true" hidden="false" outlineLevel="0" max="7" min="7" style="1" width="15"/>
    <col collapsed="false" customWidth="true" hidden="false" outlineLevel="0" max="8" min="8" style="1" width="20"/>
    <col collapsed="false" customWidth="true" hidden="false" outlineLevel="0" max="9" min="9" style="1" width="10"/>
    <col collapsed="false" customWidth="true" hidden="false" outlineLevel="0" max="10" min="10" style="1" width="11"/>
    <col collapsed="false" customWidth="true" hidden="false" outlineLevel="0" max="11" min="11" style="1" width="10"/>
    <col collapsed="false" customWidth="true" hidden="false" outlineLevel="0" max="12" min="12" style="1" width="26"/>
  </cols>
  <sheetData>
    <row r="1" customFormat="false" ht="19.5" hidden="false" customHeight="true" outlineLevel="0" collapsed="false">
      <c r="A1" s="58" t="s">
        <v>130</v>
      </c>
    </row>
    <row r="2" customFormat="false" ht="15" hidden="false" customHeight="true" outlineLevel="0" collapsed="false">
      <c r="A2" s="59" t="s">
        <v>131</v>
      </c>
    </row>
    <row r="4" customFormat="false" ht="15" hidden="false" customHeight="true" outlineLevel="0" collapsed="false">
      <c r="A4" s="60" t="s">
        <v>132</v>
      </c>
      <c r="B4" s="60" t="s">
        <v>133</v>
      </c>
      <c r="C4" s="60" t="s">
        <v>99</v>
      </c>
      <c r="D4" s="60" t="s">
        <v>134</v>
      </c>
      <c r="E4" s="60" t="s">
        <v>135</v>
      </c>
      <c r="F4" s="60" t="s">
        <v>103</v>
      </c>
      <c r="G4" s="60" t="s">
        <v>136</v>
      </c>
      <c r="H4" s="60" t="s">
        <v>137</v>
      </c>
      <c r="I4" s="60" t="s">
        <v>138</v>
      </c>
      <c r="J4" s="60" t="s">
        <v>139</v>
      </c>
      <c r="K4" s="60" t="s">
        <v>140</v>
      </c>
      <c r="L4" s="60" t="s">
        <v>141</v>
      </c>
    </row>
    <row r="5" customFormat="false" ht="15" hidden="false" customHeight="true" outlineLevel="0" collapsed="false">
      <c r="A5" s="61" t="s">
        <v>142</v>
      </c>
      <c r="B5" s="61" t="s">
        <v>143</v>
      </c>
      <c r="C5" s="61" t="s">
        <v>144</v>
      </c>
      <c r="D5" s="61" t="s">
        <v>145</v>
      </c>
      <c r="E5" s="61" t="s">
        <v>146</v>
      </c>
      <c r="F5" s="61" t="s">
        <v>147</v>
      </c>
      <c r="G5" s="61" t="s">
        <v>148</v>
      </c>
      <c r="H5" s="61" t="s">
        <v>149</v>
      </c>
      <c r="I5" s="61" t="s">
        <v>150</v>
      </c>
      <c r="J5" s="62" t="n">
        <v>175</v>
      </c>
      <c r="K5" s="63" t="s">
        <v>151</v>
      </c>
      <c r="L5" s="61" t="s">
        <v>152</v>
      </c>
    </row>
    <row r="6" customFormat="false" ht="15" hidden="false" customHeight="true" outlineLevel="0" collapsed="false">
      <c r="A6" s="61" t="s">
        <v>153</v>
      </c>
      <c r="B6" s="61" t="s">
        <v>154</v>
      </c>
      <c r="C6" s="61" t="s">
        <v>155</v>
      </c>
      <c r="D6" s="61" t="s">
        <v>145</v>
      </c>
      <c r="E6" s="61" t="s">
        <v>156</v>
      </c>
      <c r="F6" s="61" t="s">
        <v>147</v>
      </c>
      <c r="G6" s="61"/>
      <c r="H6" s="61"/>
      <c r="I6" s="61" t="s">
        <v>157</v>
      </c>
      <c r="J6" s="62" t="n">
        <v>113</v>
      </c>
      <c r="K6" s="63" t="s">
        <v>151</v>
      </c>
      <c r="L6" s="61"/>
    </row>
    <row r="7" customFormat="false" ht="15" hidden="false" customHeight="true" outlineLevel="0" collapsed="false">
      <c r="A7" s="61" t="s">
        <v>158</v>
      </c>
      <c r="B7" s="61" t="s">
        <v>159</v>
      </c>
      <c r="C7" s="61" t="s">
        <v>160</v>
      </c>
      <c r="D7" s="61" t="s">
        <v>145</v>
      </c>
      <c r="E7" s="61" t="s">
        <v>161</v>
      </c>
      <c r="F7" s="61" t="s">
        <v>147</v>
      </c>
      <c r="G7" s="61" t="s">
        <v>148</v>
      </c>
      <c r="H7" s="61" t="s">
        <v>162</v>
      </c>
      <c r="I7" s="61" t="s">
        <v>157</v>
      </c>
      <c r="J7" s="62" t="n">
        <v>220</v>
      </c>
      <c r="K7" s="64" t="s">
        <v>123</v>
      </c>
      <c r="L7" s="61" t="s">
        <v>163</v>
      </c>
    </row>
    <row r="8" customFormat="false" ht="15" hidden="false" customHeight="true" outlineLevel="0" collapsed="false">
      <c r="A8" s="61" t="s">
        <v>164</v>
      </c>
      <c r="B8" s="61" t="s">
        <v>165</v>
      </c>
      <c r="C8" s="61" t="s">
        <v>166</v>
      </c>
      <c r="D8" s="61" t="s">
        <v>167</v>
      </c>
      <c r="E8" s="61" t="s">
        <v>168</v>
      </c>
      <c r="F8" s="61" t="s">
        <v>169</v>
      </c>
      <c r="G8" s="61"/>
      <c r="H8" s="61" t="s">
        <v>170</v>
      </c>
      <c r="I8" s="61" t="s">
        <v>157</v>
      </c>
      <c r="J8" s="62" t="n">
        <v>138</v>
      </c>
      <c r="K8" s="63" t="s">
        <v>151</v>
      </c>
      <c r="L8" s="61" t="s">
        <v>171</v>
      </c>
    </row>
    <row r="9" customFormat="false" ht="15" hidden="false" customHeight="true" outlineLevel="0" collapsed="false">
      <c r="A9" s="61" t="s">
        <v>172</v>
      </c>
      <c r="B9" s="61" t="s">
        <v>173</v>
      </c>
      <c r="C9" s="61" t="s">
        <v>174</v>
      </c>
      <c r="D9" s="61" t="s">
        <v>145</v>
      </c>
      <c r="E9" s="61" t="s">
        <v>175</v>
      </c>
      <c r="F9" s="61" t="s">
        <v>169</v>
      </c>
      <c r="G9" s="61"/>
      <c r="H9" s="61"/>
      <c r="I9" s="61" t="s">
        <v>176</v>
      </c>
      <c r="J9" s="62" t="n">
        <v>96</v>
      </c>
      <c r="K9" s="63" t="s">
        <v>151</v>
      </c>
      <c r="L9" s="61"/>
    </row>
    <row r="10" customFormat="false" ht="15" hidden="false" customHeight="true" outlineLevel="0" collapsed="false">
      <c r="A10" s="25"/>
      <c r="B10" s="25"/>
      <c r="C10" s="25"/>
      <c r="D10" s="25"/>
      <c r="E10" s="25"/>
      <c r="F10" s="25"/>
      <c r="G10" s="25"/>
      <c r="H10" s="25"/>
      <c r="I10" s="25"/>
      <c r="J10" s="65"/>
      <c r="K10" s="25"/>
      <c r="L10" s="25"/>
    </row>
    <row r="11" customFormat="false" ht="15" hidden="false" customHeight="true" outlineLevel="0" collapsed="false">
      <c r="A11" s="25"/>
      <c r="B11" s="25"/>
      <c r="C11" s="25"/>
      <c r="D11" s="25"/>
      <c r="E11" s="25"/>
      <c r="F11" s="25"/>
      <c r="G11" s="25"/>
      <c r="H11" s="25"/>
      <c r="I11" s="25"/>
      <c r="J11" s="65"/>
      <c r="K11" s="25"/>
      <c r="L11" s="25"/>
    </row>
    <row r="12" customFormat="false" ht="15" hidden="false" customHeight="true" outlineLevel="0" collapsed="false">
      <c r="A12" s="25"/>
      <c r="B12" s="25"/>
      <c r="C12" s="25"/>
      <c r="D12" s="25"/>
      <c r="E12" s="25"/>
      <c r="F12" s="25"/>
      <c r="G12" s="25"/>
      <c r="H12" s="25"/>
      <c r="I12" s="25"/>
      <c r="J12" s="65"/>
      <c r="K12" s="25"/>
      <c r="L12" s="25"/>
    </row>
    <row r="13" customFormat="false" ht="15" hidden="false" customHeight="true" outlineLevel="0" collapsed="false">
      <c r="A13" s="25"/>
      <c r="B13" s="25"/>
      <c r="C13" s="25"/>
      <c r="D13" s="25"/>
      <c r="E13" s="25"/>
      <c r="F13" s="25"/>
      <c r="G13" s="25"/>
      <c r="H13" s="25"/>
      <c r="I13" s="25"/>
      <c r="J13" s="65"/>
      <c r="K13" s="25"/>
      <c r="L13" s="25"/>
    </row>
    <row r="14" customFormat="false" ht="15" hidden="false" customHeight="true" outlineLevel="0" collapsed="false">
      <c r="A14" s="25"/>
      <c r="B14" s="25"/>
      <c r="C14" s="25"/>
      <c r="D14" s="25"/>
      <c r="E14" s="25"/>
      <c r="F14" s="25"/>
      <c r="G14" s="25"/>
      <c r="H14" s="25"/>
      <c r="I14" s="25"/>
      <c r="J14" s="65"/>
      <c r="K14" s="25"/>
      <c r="L14" s="25"/>
    </row>
    <row r="15" customFormat="false" ht="15" hidden="false" customHeight="true" outlineLevel="0" collapsed="false">
      <c r="A15" s="25"/>
      <c r="B15" s="25"/>
      <c r="C15" s="25"/>
      <c r="D15" s="25"/>
      <c r="E15" s="25"/>
      <c r="F15" s="25"/>
      <c r="G15" s="25"/>
      <c r="H15" s="25"/>
      <c r="I15" s="25"/>
      <c r="J15" s="65"/>
      <c r="K15" s="25"/>
      <c r="L15" s="25"/>
    </row>
    <row r="16" customFormat="false" ht="15" hidden="false" customHeight="true" outlineLevel="0" collapsed="false">
      <c r="A16" s="25"/>
      <c r="B16" s="25"/>
      <c r="C16" s="25"/>
      <c r="D16" s="25"/>
      <c r="E16" s="25"/>
      <c r="F16" s="25"/>
      <c r="G16" s="25"/>
      <c r="H16" s="25"/>
      <c r="I16" s="25"/>
      <c r="J16" s="65"/>
      <c r="K16" s="25"/>
      <c r="L16" s="25"/>
    </row>
    <row r="17" customFormat="false" ht="15" hidden="false" customHeight="true" outlineLevel="0" collapsed="false">
      <c r="A17" s="25"/>
      <c r="B17" s="25"/>
      <c r="C17" s="25"/>
      <c r="D17" s="25"/>
      <c r="E17" s="25"/>
      <c r="F17" s="25"/>
      <c r="G17" s="25"/>
      <c r="H17" s="25"/>
      <c r="I17" s="25"/>
      <c r="J17" s="65"/>
      <c r="K17" s="25"/>
      <c r="L17" s="25"/>
    </row>
    <row r="18" customFormat="false" ht="15" hidden="false" customHeight="true" outlineLevel="0" collapsed="false">
      <c r="A18" s="25"/>
      <c r="B18" s="25"/>
      <c r="C18" s="25"/>
      <c r="D18" s="25"/>
      <c r="E18" s="25"/>
      <c r="F18" s="25"/>
      <c r="G18" s="25"/>
      <c r="H18" s="25"/>
      <c r="I18" s="25"/>
      <c r="J18" s="65"/>
      <c r="K18" s="25"/>
      <c r="L18" s="25"/>
    </row>
    <row r="19" customFormat="false" ht="15" hidden="false" customHeight="true" outlineLevel="0" collapsed="false">
      <c r="A19" s="25"/>
      <c r="B19" s="25"/>
      <c r="C19" s="25"/>
      <c r="D19" s="25"/>
      <c r="E19" s="25"/>
      <c r="F19" s="25"/>
      <c r="G19" s="25"/>
      <c r="H19" s="25"/>
      <c r="I19" s="25"/>
      <c r="J19" s="65"/>
      <c r="K19" s="25"/>
      <c r="L19" s="25"/>
    </row>
    <row r="20" customFormat="false" ht="15" hidden="false" customHeight="true" outlineLevel="0" collapsed="false">
      <c r="A20" s="25"/>
      <c r="B20" s="25"/>
      <c r="C20" s="25"/>
      <c r="D20" s="25"/>
      <c r="E20" s="25"/>
      <c r="F20" s="25"/>
      <c r="G20" s="25"/>
      <c r="H20" s="25"/>
      <c r="I20" s="25"/>
      <c r="J20" s="65"/>
      <c r="K20" s="25"/>
      <c r="L20" s="25"/>
    </row>
    <row r="21" customFormat="false" ht="15" hidden="false" customHeight="true" outlineLevel="0" collapsed="false">
      <c r="A21" s="25"/>
      <c r="B21" s="25"/>
      <c r="C21" s="25"/>
      <c r="D21" s="25"/>
      <c r="E21" s="25"/>
      <c r="F21" s="25"/>
      <c r="G21" s="25"/>
      <c r="H21" s="25"/>
      <c r="I21" s="25"/>
      <c r="J21" s="65"/>
      <c r="K21" s="25"/>
      <c r="L21" s="25"/>
    </row>
    <row r="22" customFormat="false" ht="15" hidden="false" customHeight="true" outlineLevel="0" collapsed="false">
      <c r="A22" s="25"/>
      <c r="B22" s="25"/>
      <c r="C22" s="25"/>
      <c r="D22" s="25"/>
      <c r="E22" s="25"/>
      <c r="F22" s="25"/>
      <c r="G22" s="25"/>
      <c r="H22" s="25"/>
      <c r="I22" s="25"/>
      <c r="J22" s="65"/>
      <c r="K22" s="25"/>
      <c r="L22" s="25"/>
    </row>
    <row r="23" customFormat="false" ht="15" hidden="false" customHeight="true" outlineLevel="0" collapsed="false">
      <c r="A23" s="25"/>
      <c r="B23" s="25"/>
      <c r="C23" s="25"/>
      <c r="D23" s="25"/>
      <c r="E23" s="25"/>
      <c r="F23" s="25"/>
      <c r="G23" s="25"/>
      <c r="H23" s="25"/>
      <c r="I23" s="25"/>
      <c r="J23" s="65"/>
      <c r="K23" s="25"/>
      <c r="L23" s="25"/>
    </row>
    <row r="24" customFormat="false" ht="15" hidden="false" customHeight="true" outlineLevel="0" collapsed="false">
      <c r="A24" s="25"/>
      <c r="B24" s="25"/>
      <c r="C24" s="25"/>
      <c r="D24" s="25"/>
      <c r="E24" s="25"/>
      <c r="F24" s="25"/>
      <c r="G24" s="25"/>
      <c r="H24" s="25"/>
      <c r="I24" s="25"/>
      <c r="J24" s="65"/>
      <c r="K24" s="25"/>
      <c r="L24" s="25"/>
    </row>
    <row r="25" customFormat="false" ht="15" hidden="false" customHeight="true" outlineLevel="0" collapsed="false">
      <c r="A25" s="66"/>
      <c r="B25" s="66"/>
      <c r="C25" s="66"/>
      <c r="D25" s="66"/>
      <c r="E25" s="66"/>
      <c r="F25" s="66"/>
      <c r="G25" s="66"/>
      <c r="H25" s="66"/>
      <c r="I25" s="66"/>
      <c r="J25" s="66"/>
      <c r="K25" s="66"/>
      <c r="L25" s="66"/>
    </row>
    <row r="26" customFormat="false" ht="19.5" hidden="false" customHeight="true" outlineLevel="0" collapsed="false">
      <c r="A26" s="58" t="s">
        <v>177</v>
      </c>
    </row>
    <row r="27" customFormat="false" ht="15" hidden="false" customHeight="true" outlineLevel="0" collapsed="false">
      <c r="A27" s="13" t="s">
        <v>178</v>
      </c>
      <c r="B27" s="67" t="n">
        <f aca="false">COUNT(J5:J24)</f>
        <v>5</v>
      </c>
    </row>
    <row r="28" customFormat="false" ht="15" hidden="false" customHeight="true" outlineLevel="0" collapsed="false">
      <c r="A28" s="13" t="s">
        <v>179</v>
      </c>
      <c r="B28" s="68" t="n">
        <f aca="false">SUM(J5:J24)</f>
        <v>742</v>
      </c>
    </row>
    <row r="29" customFormat="false" ht="15" hidden="false" customHeight="true" outlineLevel="0" collapsed="false">
      <c r="A29" s="13" t="s">
        <v>180</v>
      </c>
      <c r="B29" s="68" t="n">
        <f aca="false">SUMIF(K5:K24,"Yes",J5:J24)</f>
        <v>522</v>
      </c>
    </row>
    <row r="30" customFormat="false" ht="15" hidden="false" customHeight="true" outlineLevel="0" collapsed="false">
      <c r="A30" s="13" t="s">
        <v>181</v>
      </c>
      <c r="B30" s="68" t="n">
        <f aca="false">SUMIF(K5:K24,"No",J5:J24)</f>
        <v>220</v>
      </c>
    </row>
  </sheetData>
  <sheetProtection sheet="true" password="ef87"/>
  <dataValidations count="2">
    <dataValidation allowBlank="true" errorStyle="stop" operator="between" showDropDown="false" showErrorMessage="false" showInputMessage="false" sqref="K5:K24" type="list">
      <formula1>"Yes,No"</formula1>
      <formula2>0</formula2>
    </dataValidation>
    <dataValidation allowBlank="true" errorStyle="stop" operator="between" showDropDown="false" showErrorMessage="false" showInputMessage="false" sqref="D5:D24" type="list">
      <formula1>"Dog,Cat"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0"/>
    <col collapsed="false" customWidth="true" hidden="false" outlineLevel="0" max="4" min="4" style="1" width="24"/>
    <col collapsed="false" customWidth="true" hidden="false" outlineLevel="0" max="5" min="5" style="1" width="12"/>
    <col collapsed="false" customWidth="true" hidden="false" outlineLevel="0" max="6" min="6" style="1" width="4"/>
    <col collapsed="false" customWidth="true" hidden="false" outlineLevel="0" max="7" min="7" style="1" width="26"/>
    <col collapsed="false" customWidth="true" hidden="false" outlineLevel="0" max="8" min="8" style="1" width="10"/>
  </cols>
  <sheetData>
    <row r="1" customFormat="false" ht="19.5" hidden="false" customHeight="true" outlineLevel="0" collapsed="false">
      <c r="A1" s="69" t="s">
        <v>182</v>
      </c>
      <c r="G1" s="70" t="s">
        <v>183</v>
      </c>
      <c r="H1" s="35" t="n">
        <v>20</v>
      </c>
      <c r="J1" s="71"/>
    </row>
    <row r="2" customFormat="false" ht="15" hidden="false" customHeight="true" outlineLevel="0" collapsed="false">
      <c r="A2" s="70" t="s">
        <v>184</v>
      </c>
      <c r="B2" s="72" t="n">
        <v>100</v>
      </c>
      <c r="D2" s="70" t="s">
        <v>185</v>
      </c>
      <c r="E2" s="72" t="n">
        <v>110</v>
      </c>
      <c r="J2" s="1" t="s">
        <v>186</v>
      </c>
    </row>
    <row r="3" customFormat="false" ht="15" hidden="false" customHeight="true" outlineLevel="0" collapsed="false">
      <c r="A3" s="70" t="s">
        <v>187</v>
      </c>
      <c r="B3" s="1" t="n">
        <v>90</v>
      </c>
      <c r="D3" s="70" t="s">
        <v>188</v>
      </c>
      <c r="E3" s="73" t="n">
        <v>90</v>
      </c>
      <c r="J3" s="1" t="s">
        <v>189</v>
      </c>
    </row>
    <row r="4" customFormat="false" ht="15" hidden="false" customHeight="true" outlineLevel="0" collapsed="false">
      <c r="J4" s="1" t="s">
        <v>190</v>
      </c>
    </row>
    <row r="5" customFormat="false" ht="15" hidden="false" customHeight="true" outlineLevel="0" collapsed="false">
      <c r="A5" s="74" t="s">
        <v>191</v>
      </c>
      <c r="J5" s="1" t="s">
        <v>192</v>
      </c>
    </row>
    <row r="6" customFormat="false" ht="15" hidden="false" customHeight="true" outlineLevel="0" collapsed="false">
      <c r="A6" s="75" t="s">
        <v>193</v>
      </c>
      <c r="B6" s="75" t="s">
        <v>194</v>
      </c>
      <c r="J6" s="1" t="s">
        <v>195</v>
      </c>
    </row>
    <row r="7" customFormat="false" ht="15" hidden="false" customHeight="true" outlineLevel="0" collapsed="false">
      <c r="A7" s="76" t="s">
        <v>196</v>
      </c>
      <c r="B7" s="76" t="n">
        <v>1</v>
      </c>
      <c r="J7" s="1" t="s">
        <v>197</v>
      </c>
    </row>
    <row r="8" customFormat="false" ht="15" hidden="false" customHeight="true" outlineLevel="0" collapsed="false">
      <c r="A8" s="76" t="s">
        <v>156</v>
      </c>
      <c r="B8" s="76" t="n">
        <v>1</v>
      </c>
      <c r="J8" s="1" t="s">
        <v>198</v>
      </c>
    </row>
    <row r="9" customFormat="false" ht="15" hidden="false" customHeight="true" outlineLevel="0" collapsed="false">
      <c r="A9" s="76" t="s">
        <v>175</v>
      </c>
      <c r="B9" s="76" t="n">
        <v>1.03</v>
      </c>
      <c r="J9" s="1" t="s">
        <v>199</v>
      </c>
    </row>
    <row r="10" customFormat="false" ht="15" hidden="false" customHeight="true" outlineLevel="0" collapsed="false">
      <c r="A10" s="76" t="s">
        <v>200</v>
      </c>
      <c r="B10" s="76" t="n">
        <v>1.03</v>
      </c>
      <c r="J10" s="1" t="s">
        <v>201</v>
      </c>
    </row>
    <row r="11" customFormat="false" ht="15" hidden="false" customHeight="true" outlineLevel="0" collapsed="false">
      <c r="A11" s="76" t="s">
        <v>202</v>
      </c>
      <c r="B11" s="76" t="n">
        <v>1.03</v>
      </c>
      <c r="J11" s="1" t="s">
        <v>203</v>
      </c>
    </row>
    <row r="12" customFormat="false" ht="15" hidden="false" customHeight="true" outlineLevel="0" collapsed="false">
      <c r="A12" s="76" t="s">
        <v>204</v>
      </c>
      <c r="B12" s="76" t="n">
        <v>1.09</v>
      </c>
      <c r="J12" s="1" t="s">
        <v>205</v>
      </c>
    </row>
    <row r="13" customFormat="false" ht="15" hidden="false" customHeight="true" outlineLevel="0" collapsed="false">
      <c r="A13" s="76" t="s">
        <v>206</v>
      </c>
      <c r="B13" s="76" t="n">
        <v>1.11</v>
      </c>
      <c r="J13" s="1" t="s">
        <v>207</v>
      </c>
    </row>
    <row r="14" customFormat="false" ht="15" hidden="false" customHeight="true" outlineLevel="0" collapsed="false">
      <c r="A14" s="76" t="s">
        <v>208</v>
      </c>
      <c r="B14" s="76" t="n">
        <v>1.07</v>
      </c>
      <c r="J14" s="1" t="s">
        <v>209</v>
      </c>
    </row>
    <row r="15" customFormat="false" ht="15" hidden="false" customHeight="true" outlineLevel="0" collapsed="false">
      <c r="A15" s="76" t="s">
        <v>146</v>
      </c>
      <c r="B15" s="76" t="n">
        <v>1.2</v>
      </c>
      <c r="J15" s="1" t="s">
        <v>210</v>
      </c>
    </row>
    <row r="16" customFormat="false" ht="15" hidden="false" customHeight="true" outlineLevel="0" collapsed="false">
      <c r="A16" s="76" t="s">
        <v>161</v>
      </c>
      <c r="B16" s="76" t="n">
        <v>1.27</v>
      </c>
      <c r="J16" s="1" t="s">
        <v>211</v>
      </c>
    </row>
    <row r="17" customFormat="false" ht="15" hidden="false" customHeight="true" outlineLevel="0" collapsed="false">
      <c r="J17" s="1" t="s">
        <v>212</v>
      </c>
    </row>
    <row r="18" customFormat="false" ht="15" hidden="false" customHeight="true" outlineLevel="0" collapsed="false">
      <c r="J18" s="1" t="s">
        <v>213</v>
      </c>
    </row>
    <row r="19" customFormat="false" ht="15" hidden="false" customHeight="true" outlineLevel="0" collapsed="false">
      <c r="A19" s="74" t="s">
        <v>214</v>
      </c>
      <c r="J19" s="1" t="s">
        <v>215</v>
      </c>
    </row>
    <row r="20" customFormat="false" ht="15" hidden="false" customHeight="true" outlineLevel="0" collapsed="false">
      <c r="A20" s="75" t="s">
        <v>216</v>
      </c>
      <c r="B20" s="75" t="s">
        <v>194</v>
      </c>
      <c r="J20" s="1" t="s">
        <v>217</v>
      </c>
    </row>
    <row r="21" customFormat="false" ht="15" hidden="false" customHeight="true" outlineLevel="0" collapsed="false">
      <c r="A21" s="76" t="s">
        <v>218</v>
      </c>
      <c r="B21" s="76" t="n">
        <v>1</v>
      </c>
      <c r="J21" s="1" t="s">
        <v>219</v>
      </c>
    </row>
    <row r="22" customFormat="false" ht="15" hidden="false" customHeight="true" outlineLevel="0" collapsed="false">
      <c r="A22" s="76" t="s">
        <v>168</v>
      </c>
      <c r="B22" s="76" t="n">
        <v>1.07</v>
      </c>
      <c r="J22" s="1" t="s">
        <v>220</v>
      </c>
    </row>
    <row r="23" customFormat="false" ht="15" hidden="false" customHeight="true" outlineLevel="0" collapsed="false">
      <c r="J23" s="1" t="s">
        <v>221</v>
      </c>
    </row>
    <row r="24" customFormat="false" ht="15" hidden="false" customHeight="true" outlineLevel="0" collapsed="false">
      <c r="J24" s="1" t="s">
        <v>222</v>
      </c>
    </row>
    <row r="25" customFormat="false" ht="15" hidden="false" customHeight="true" outlineLevel="0" collapsed="false">
      <c r="A25" s="74" t="s">
        <v>223</v>
      </c>
      <c r="J25" s="1" t="s">
        <v>224</v>
      </c>
    </row>
    <row r="26" customFormat="false" ht="39" hidden="false" customHeight="true" outlineLevel="0" collapsed="false">
      <c r="A26" s="75" t="s">
        <v>103</v>
      </c>
      <c r="B26" s="75" t="s">
        <v>225</v>
      </c>
      <c r="C26" s="75" t="s">
        <v>194</v>
      </c>
      <c r="J26" s="1" t="s">
        <v>226</v>
      </c>
    </row>
    <row r="27" customFormat="false" ht="15" hidden="false" customHeight="true" outlineLevel="0" collapsed="false">
      <c r="A27" s="76" t="s">
        <v>227</v>
      </c>
      <c r="B27" s="76" t="s">
        <v>228</v>
      </c>
      <c r="C27" s="76" t="n">
        <v>1</v>
      </c>
      <c r="J27" s="1" t="s">
        <v>229</v>
      </c>
    </row>
    <row r="28" customFormat="false" ht="15" hidden="false" customHeight="true" outlineLevel="0" collapsed="false">
      <c r="A28" s="76" t="s">
        <v>230</v>
      </c>
      <c r="B28" s="76" t="s">
        <v>231</v>
      </c>
      <c r="C28" s="76" t="n">
        <v>1.075</v>
      </c>
      <c r="J28" s="1" t="s">
        <v>232</v>
      </c>
    </row>
    <row r="29" customFormat="false" ht="15" hidden="false" customHeight="true" outlineLevel="0" collapsed="false">
      <c r="A29" s="76" t="s">
        <v>233</v>
      </c>
      <c r="B29" s="76" t="s">
        <v>234</v>
      </c>
      <c r="C29" s="76" t="n">
        <v>1.11</v>
      </c>
      <c r="J29" s="1" t="s">
        <v>235</v>
      </c>
    </row>
    <row r="30" customFormat="false" ht="15" hidden="false" customHeight="true" outlineLevel="0" collapsed="false">
      <c r="A30" s="76" t="s">
        <v>236</v>
      </c>
      <c r="B30" s="76" t="s">
        <v>237</v>
      </c>
      <c r="C30" s="76" t="n">
        <v>1.25</v>
      </c>
      <c r="J30" s="1" t="s">
        <v>238</v>
      </c>
    </row>
    <row r="31" customFormat="false" ht="15" hidden="false" customHeight="true" outlineLevel="0" collapsed="false">
      <c r="A31" s="76" t="s">
        <v>239</v>
      </c>
      <c r="B31" s="76" t="s">
        <v>240</v>
      </c>
      <c r="C31" s="76" t="n">
        <v>1.3</v>
      </c>
      <c r="J31" s="1" t="s">
        <v>241</v>
      </c>
    </row>
    <row r="32" customFormat="false" ht="15" hidden="false" customHeight="true" outlineLevel="0" collapsed="false">
      <c r="J32" s="1" t="s">
        <v>242</v>
      </c>
    </row>
    <row r="33" customFormat="false" ht="15" hidden="false" customHeight="true" outlineLevel="0" collapsed="false">
      <c r="J33" s="1" t="s">
        <v>243</v>
      </c>
    </row>
    <row r="34" customFormat="false" ht="15" hidden="false" customHeight="true" outlineLevel="0" collapsed="false">
      <c r="A34" s="74" t="s">
        <v>244</v>
      </c>
      <c r="J34" s="1" t="s">
        <v>245</v>
      </c>
    </row>
    <row r="35" customFormat="false" ht="15" hidden="false" customHeight="true" outlineLevel="0" collapsed="false">
      <c r="A35" s="75" t="s">
        <v>246</v>
      </c>
      <c r="B35" s="75" t="s">
        <v>247</v>
      </c>
      <c r="J35" s="1" t="s">
        <v>248</v>
      </c>
    </row>
    <row r="36" customFormat="false" ht="15" hidden="false" customHeight="true" outlineLevel="0" collapsed="false">
      <c r="A36" s="76" t="s">
        <v>249</v>
      </c>
      <c r="B36" s="77" t="n">
        <v>5</v>
      </c>
      <c r="J36" s="1" t="s">
        <v>250</v>
      </c>
    </row>
    <row r="37" customFormat="false" ht="15" hidden="false" customHeight="true" outlineLevel="0" collapsed="false">
      <c r="A37" s="76" t="s">
        <v>251</v>
      </c>
      <c r="B37" s="77" t="n">
        <v>6</v>
      </c>
      <c r="J37" s="1" t="s">
        <v>252</v>
      </c>
    </row>
    <row r="38" customFormat="false" ht="15" hidden="false" customHeight="true" outlineLevel="0" collapsed="false">
      <c r="J38" s="1" t="s">
        <v>253</v>
      </c>
    </row>
    <row r="39" customFormat="false" ht="15" hidden="false" customHeight="true" outlineLevel="0" collapsed="false">
      <c r="J39" s="1" t="s">
        <v>254</v>
      </c>
    </row>
    <row r="40" customFormat="false" ht="15" hidden="false" customHeight="true" outlineLevel="0" collapsed="false">
      <c r="A40" s="74" t="s">
        <v>255</v>
      </c>
      <c r="J40" s="1" t="s">
        <v>256</v>
      </c>
    </row>
    <row r="41" customFormat="false" ht="15" hidden="false" customHeight="true" outlineLevel="0" collapsed="false">
      <c r="A41" s="75" t="s">
        <v>257</v>
      </c>
      <c r="J41" s="1" t="s">
        <v>258</v>
      </c>
    </row>
    <row r="42" customFormat="false" ht="15" hidden="false" customHeight="true" outlineLevel="0" collapsed="false">
      <c r="A42" s="76" t="s">
        <v>148</v>
      </c>
      <c r="J42" s="1" t="s">
        <v>259</v>
      </c>
    </row>
    <row r="43" customFormat="false" ht="15" hidden="false" customHeight="true" outlineLevel="0" collapsed="false">
      <c r="A43" s="76" t="s">
        <v>260</v>
      </c>
      <c r="J43" s="1" t="s">
        <v>261</v>
      </c>
    </row>
    <row r="44" customFormat="false" ht="15" hidden="false" customHeight="true" outlineLevel="0" collapsed="false">
      <c r="A44" s="76" t="s">
        <v>262</v>
      </c>
      <c r="J44" s="1" t="s">
        <v>263</v>
      </c>
    </row>
    <row r="45" customFormat="false" ht="15" hidden="false" customHeight="true" outlineLevel="0" collapsed="false">
      <c r="A45" s="76" t="s">
        <v>264</v>
      </c>
      <c r="J45" s="1" t="s">
        <v>265</v>
      </c>
    </row>
    <row r="46" customFormat="false" ht="15" hidden="false" customHeight="true" outlineLevel="0" collapsed="false">
      <c r="J46" s="1" t="s">
        <v>266</v>
      </c>
    </row>
    <row r="47" customFormat="false" ht="15" hidden="false" customHeight="true" outlineLevel="0" collapsed="false">
      <c r="J47" s="1" t="s">
        <v>267</v>
      </c>
    </row>
    <row r="48" customFormat="false" ht="15" hidden="false" customHeight="true" outlineLevel="0" collapsed="false">
      <c r="A48" s="73" t="s">
        <v>268</v>
      </c>
      <c r="J48" s="1" t="s">
        <v>269</v>
      </c>
    </row>
    <row r="49" customFormat="false" ht="15" hidden="false" customHeight="true" outlineLevel="0" collapsed="false">
      <c r="A49" s="75" t="s">
        <v>193</v>
      </c>
      <c r="J49" s="1" t="s">
        <v>270</v>
      </c>
    </row>
    <row r="50" customFormat="false" ht="15" hidden="false" customHeight="true" outlineLevel="0" collapsed="false">
      <c r="A50" s="76" t="s">
        <v>204</v>
      </c>
      <c r="J50" s="1" t="s">
        <v>271</v>
      </c>
    </row>
    <row r="51" customFormat="false" ht="15" hidden="false" customHeight="true" outlineLevel="0" collapsed="false">
      <c r="A51" s="76" t="s">
        <v>206</v>
      </c>
      <c r="J51" s="1" t="s">
        <v>272</v>
      </c>
    </row>
    <row r="52" customFormat="false" ht="15" hidden="false" customHeight="true" outlineLevel="0" collapsed="false">
      <c r="A52" s="76" t="s">
        <v>208</v>
      </c>
      <c r="J52" s="1" t="s">
        <v>273</v>
      </c>
    </row>
    <row r="53" customFormat="false" ht="15" hidden="false" customHeight="true" outlineLevel="0" collapsed="false">
      <c r="A53" s="76" t="s">
        <v>146</v>
      </c>
      <c r="J53" s="1" t="s">
        <v>274</v>
      </c>
    </row>
    <row r="54" customFormat="false" ht="15" hidden="false" customHeight="true" outlineLevel="0" collapsed="false">
      <c r="A54" s="76" t="s">
        <v>161</v>
      </c>
      <c r="J54" s="1" t="s">
        <v>275</v>
      </c>
    </row>
    <row r="55" customFormat="false" ht="15" hidden="false" customHeight="true" outlineLevel="0" collapsed="false">
      <c r="A55" s="73" t="s">
        <v>276</v>
      </c>
      <c r="J55" s="1" t="s">
        <v>277</v>
      </c>
    </row>
    <row r="56" customFormat="false" ht="15" hidden="false" customHeight="true" outlineLevel="0" collapsed="false">
      <c r="J56" s="1" t="s">
        <v>278</v>
      </c>
    </row>
    <row r="57" customFormat="false" ht="15" hidden="false" customHeight="true" outlineLevel="0" collapsed="false">
      <c r="J57" s="1" t="s">
        <v>279</v>
      </c>
    </row>
    <row r="58" customFormat="false" ht="15" hidden="false" customHeight="true" outlineLevel="0" collapsed="false">
      <c r="A58" s="74" t="s">
        <v>280</v>
      </c>
      <c r="J58" s="1" t="s">
        <v>281</v>
      </c>
    </row>
    <row r="59" customFormat="false" ht="90" hidden="false" customHeight="true" outlineLevel="0" collapsed="false">
      <c r="A59" s="75" t="s">
        <v>282</v>
      </c>
      <c r="B59" s="75" t="s">
        <v>117</v>
      </c>
      <c r="C59" s="75" t="s">
        <v>283</v>
      </c>
      <c r="J59" s="1" t="s">
        <v>284</v>
      </c>
    </row>
    <row r="60" customFormat="false" ht="15" hidden="false" customHeight="true" outlineLevel="0" collapsed="false">
      <c r="A60" s="76" t="s">
        <v>285</v>
      </c>
      <c r="B60" s="77" t="n">
        <v>20</v>
      </c>
      <c r="C60" s="76" t="n">
        <v>15</v>
      </c>
      <c r="J60" s="1" t="s">
        <v>286</v>
      </c>
    </row>
    <row r="61" customFormat="false" ht="15" hidden="false" customHeight="true" outlineLevel="0" collapsed="false">
      <c r="A61" s="76" t="s">
        <v>287</v>
      </c>
      <c r="B61" s="77" t="n">
        <v>25</v>
      </c>
      <c r="C61" s="76" t="n">
        <v>15</v>
      </c>
      <c r="J61" s="1" t="s">
        <v>288</v>
      </c>
    </row>
    <row r="62" customFormat="false" ht="15" hidden="false" customHeight="true" outlineLevel="0" collapsed="false">
      <c r="A62" s="76" t="s">
        <v>289</v>
      </c>
      <c r="B62" s="77" t="n">
        <v>30</v>
      </c>
      <c r="C62" s="76" t="n">
        <v>15</v>
      </c>
      <c r="J62" s="1" t="s">
        <v>290</v>
      </c>
    </row>
    <row r="63" customFormat="false" ht="15" hidden="false" customHeight="true" outlineLevel="0" collapsed="false">
      <c r="A63" s="76" t="s">
        <v>291</v>
      </c>
      <c r="B63" s="77" t="n">
        <v>20</v>
      </c>
      <c r="C63" s="76" t="n">
        <v>15</v>
      </c>
      <c r="J63" s="1" t="s">
        <v>292</v>
      </c>
    </row>
    <row r="64" customFormat="false" ht="15" hidden="false" customHeight="true" outlineLevel="0" collapsed="false">
      <c r="A64" s="76" t="s">
        <v>293</v>
      </c>
      <c r="B64" s="77" t="n">
        <v>25</v>
      </c>
      <c r="C64" s="76" t="n">
        <v>15</v>
      </c>
      <c r="J64" s="1" t="s">
        <v>294</v>
      </c>
    </row>
    <row r="65" customFormat="false" ht="15" hidden="false" customHeight="true" outlineLevel="0" collapsed="false">
      <c r="A65" s="76" t="s">
        <v>295</v>
      </c>
      <c r="B65" s="77" t="n">
        <v>30</v>
      </c>
      <c r="C65" s="76" t="n">
        <v>15</v>
      </c>
      <c r="J65" s="1" t="s">
        <v>296</v>
      </c>
    </row>
    <row r="66" customFormat="false" ht="15" hidden="false" customHeight="true" outlineLevel="0" collapsed="false">
      <c r="A66" s="76" t="s">
        <v>297</v>
      </c>
      <c r="B66" s="77" t="n">
        <v>40</v>
      </c>
      <c r="C66" s="76" t="n">
        <v>15</v>
      </c>
      <c r="J66" s="1" t="s">
        <v>298</v>
      </c>
    </row>
    <row r="67" customFormat="false" ht="15" hidden="false" customHeight="true" outlineLevel="0" collapsed="false">
      <c r="A67" s="76" t="s">
        <v>299</v>
      </c>
      <c r="B67" s="77" t="n">
        <v>30</v>
      </c>
      <c r="C67" s="76" t="n">
        <v>15</v>
      </c>
      <c r="J67" s="1" t="s">
        <v>300</v>
      </c>
    </row>
    <row r="68" customFormat="false" ht="15" hidden="false" customHeight="true" outlineLevel="0" collapsed="false">
      <c r="A68" s="76" t="s">
        <v>301</v>
      </c>
      <c r="B68" s="77" t="n">
        <v>20</v>
      </c>
      <c r="C68" s="76" t="n">
        <v>15</v>
      </c>
      <c r="J68" s="1" t="s">
        <v>302</v>
      </c>
    </row>
    <row r="69" customFormat="false" ht="15" hidden="false" customHeight="true" outlineLevel="0" collapsed="false">
      <c r="A69" s="76" t="s">
        <v>303</v>
      </c>
      <c r="B69" s="77" t="n">
        <v>30</v>
      </c>
      <c r="C69" s="76" t="n">
        <v>15</v>
      </c>
      <c r="J69" s="1" t="s">
        <v>304</v>
      </c>
    </row>
    <row r="70" customFormat="false" ht="15" hidden="false" customHeight="true" outlineLevel="0" collapsed="false">
      <c r="A70" s="76" t="s">
        <v>305</v>
      </c>
      <c r="B70" s="77" t="n">
        <v>20</v>
      </c>
      <c r="C70" s="76" t="n">
        <v>15</v>
      </c>
      <c r="J70" s="1" t="s">
        <v>306</v>
      </c>
    </row>
    <row r="71" customFormat="false" ht="15" hidden="false" customHeight="true" outlineLevel="0" collapsed="false">
      <c r="A71" s="76" t="s">
        <v>307</v>
      </c>
      <c r="B71" s="77" t="n">
        <v>10</v>
      </c>
      <c r="C71" s="76" t="n">
        <v>15</v>
      </c>
      <c r="J71" s="1" t="s">
        <v>308</v>
      </c>
    </row>
    <row r="72" customFormat="false" ht="15" hidden="false" customHeight="true" outlineLevel="0" collapsed="false">
      <c r="A72" s="76" t="s">
        <v>309</v>
      </c>
      <c r="B72" s="77" t="n">
        <v>10</v>
      </c>
      <c r="C72" s="76" t="n">
        <v>15</v>
      </c>
      <c r="J72" s="1" t="s">
        <v>310</v>
      </c>
    </row>
    <row r="73" customFormat="false" ht="15" hidden="false" customHeight="true" outlineLevel="0" collapsed="false">
      <c r="A73" s="76" t="s">
        <v>311</v>
      </c>
      <c r="B73" s="77" t="n">
        <v>10</v>
      </c>
      <c r="C73" s="76" t="n">
        <v>15</v>
      </c>
      <c r="J73" s="1" t="s">
        <v>312</v>
      </c>
    </row>
    <row r="74" customFormat="false" ht="15" hidden="false" customHeight="true" outlineLevel="0" collapsed="false">
      <c r="A74" s="76" t="s">
        <v>170</v>
      </c>
      <c r="B74" s="77" t="n">
        <v>10</v>
      </c>
      <c r="C74" s="76" t="n">
        <v>15</v>
      </c>
      <c r="J74" s="1" t="s">
        <v>313</v>
      </c>
    </row>
    <row r="75" customFormat="false" ht="15" hidden="false" customHeight="true" outlineLevel="0" collapsed="false">
      <c r="A75" s="76" t="s">
        <v>314</v>
      </c>
      <c r="B75" s="77" t="n">
        <v>10</v>
      </c>
      <c r="C75" s="76" t="n">
        <v>15</v>
      </c>
      <c r="J75" s="1" t="s">
        <v>315</v>
      </c>
    </row>
    <row r="76" customFormat="false" ht="15" hidden="false" customHeight="true" outlineLevel="0" collapsed="false">
      <c r="A76" s="76" t="s">
        <v>316</v>
      </c>
      <c r="B76" s="77" t="n">
        <v>10</v>
      </c>
      <c r="C76" s="76" t="n">
        <v>15</v>
      </c>
      <c r="J76" s="1" t="s">
        <v>317</v>
      </c>
    </row>
    <row r="77" customFormat="false" ht="15" hidden="false" customHeight="true" outlineLevel="0" collapsed="false">
      <c r="A77" s="76" t="s">
        <v>318</v>
      </c>
      <c r="B77" s="77" t="n">
        <v>10</v>
      </c>
      <c r="C77" s="76" t="n">
        <v>15</v>
      </c>
      <c r="J77" s="1" t="s">
        <v>319</v>
      </c>
    </row>
    <row r="78" customFormat="false" ht="15" hidden="false" customHeight="true" outlineLevel="0" collapsed="false">
      <c r="J78" s="1" t="s">
        <v>320</v>
      </c>
    </row>
    <row r="79" customFormat="false" ht="15" hidden="false" customHeight="true" outlineLevel="0" collapsed="false">
      <c r="J79" s="1" t="s">
        <v>321</v>
      </c>
    </row>
    <row r="80" customFormat="false" ht="15" hidden="false" customHeight="true" outlineLevel="0" collapsed="false">
      <c r="A80" s="74" t="s">
        <v>322</v>
      </c>
      <c r="J80" s="1" t="s">
        <v>323</v>
      </c>
    </row>
    <row r="81" customFormat="false" ht="77.25" hidden="false" customHeight="true" outlineLevel="0" collapsed="false">
      <c r="A81" s="75" t="s">
        <v>324</v>
      </c>
      <c r="B81" s="75" t="s">
        <v>325</v>
      </c>
      <c r="C81" s="75" t="s">
        <v>326</v>
      </c>
      <c r="J81" s="1" t="s">
        <v>327</v>
      </c>
    </row>
    <row r="82" customFormat="false" ht="15" hidden="false" customHeight="true" outlineLevel="0" collapsed="false">
      <c r="A82" s="76" t="s">
        <v>328</v>
      </c>
      <c r="B82" s="77" t="n">
        <v>0</v>
      </c>
      <c r="C82" s="76" t="n">
        <v>0</v>
      </c>
      <c r="J82" s="1" t="s">
        <v>329</v>
      </c>
    </row>
    <row r="83" customFormat="false" ht="15" hidden="false" customHeight="true" outlineLevel="0" collapsed="false">
      <c r="A83" s="76" t="s">
        <v>330</v>
      </c>
      <c r="B83" s="77" t="n">
        <v>15</v>
      </c>
      <c r="C83" s="76" t="n">
        <v>30</v>
      </c>
      <c r="J83" s="1" t="s">
        <v>331</v>
      </c>
    </row>
    <row r="84" customFormat="false" ht="15" hidden="false" customHeight="true" outlineLevel="0" collapsed="false">
      <c r="A84" s="76" t="s">
        <v>332</v>
      </c>
      <c r="B84" s="77" t="n">
        <v>30</v>
      </c>
      <c r="C84" s="76" t="n">
        <v>45</v>
      </c>
      <c r="J84" s="1" t="s">
        <v>333</v>
      </c>
    </row>
    <row r="85" customFormat="false" ht="15" hidden="false" customHeight="true" outlineLevel="0" collapsed="false">
      <c r="A85" s="76" t="s">
        <v>334</v>
      </c>
      <c r="B85" s="77" t="n">
        <v>50</v>
      </c>
      <c r="C85" s="76" t="n">
        <v>60</v>
      </c>
      <c r="J85" s="1" t="s">
        <v>335</v>
      </c>
    </row>
    <row r="86" customFormat="false" ht="15" hidden="false" customHeight="true" outlineLevel="0" collapsed="false">
      <c r="J86" s="1" t="s">
        <v>336</v>
      </c>
    </row>
    <row r="87" customFormat="false" ht="15" hidden="false" customHeight="true" outlineLevel="0" collapsed="false">
      <c r="J87" s="1" t="s">
        <v>337</v>
      </c>
    </row>
    <row r="88" customFormat="false" ht="15" hidden="false" customHeight="true" outlineLevel="0" collapsed="false">
      <c r="A88" s="73" t="s">
        <v>338</v>
      </c>
      <c r="J88" s="1" t="s">
        <v>339</v>
      </c>
    </row>
    <row r="89" customFormat="false" ht="15" hidden="false" customHeight="true" outlineLevel="0" collapsed="false">
      <c r="A89" s="75" t="s">
        <v>80</v>
      </c>
      <c r="B89" s="75" t="s">
        <v>340</v>
      </c>
      <c r="J89" s="1" t="s">
        <v>341</v>
      </c>
    </row>
    <row r="90" customFormat="false" ht="15" hidden="false" customHeight="true" outlineLevel="0" collapsed="false">
      <c r="A90" s="76" t="s">
        <v>342</v>
      </c>
      <c r="B90" s="77" t="n">
        <v>30</v>
      </c>
      <c r="J90" s="1" t="s">
        <v>343</v>
      </c>
    </row>
    <row r="91" customFormat="false" ht="15" hidden="false" customHeight="true" outlineLevel="0" collapsed="false">
      <c r="J91" s="1" t="s">
        <v>344</v>
      </c>
    </row>
    <row r="92" customFormat="false" ht="15" hidden="false" customHeight="true" outlineLevel="0" collapsed="false">
      <c r="J92" s="1" t="s">
        <v>345</v>
      </c>
    </row>
    <row r="93" customFormat="false" ht="15" hidden="false" customHeight="true" outlineLevel="0" collapsed="false">
      <c r="A93" s="74" t="s">
        <v>346</v>
      </c>
      <c r="J93" s="1" t="s">
        <v>347</v>
      </c>
    </row>
    <row r="94" customFormat="false" ht="15" hidden="false" customHeight="true" outlineLevel="0" collapsed="false">
      <c r="A94" s="75" t="s">
        <v>134</v>
      </c>
      <c r="J94" s="1" t="s">
        <v>348</v>
      </c>
    </row>
    <row r="95" customFormat="false" ht="15" hidden="false" customHeight="true" outlineLevel="0" collapsed="false">
      <c r="A95" s="76" t="s">
        <v>145</v>
      </c>
      <c r="J95" s="1" t="s">
        <v>349</v>
      </c>
    </row>
    <row r="96" customFormat="false" ht="15" hidden="false" customHeight="true" outlineLevel="0" collapsed="false">
      <c r="A96" s="76" t="s">
        <v>167</v>
      </c>
      <c r="J96" s="1" t="s">
        <v>350</v>
      </c>
    </row>
    <row r="97" customFormat="false" ht="15" hidden="false" customHeight="true" outlineLevel="0" collapsed="false">
      <c r="J97" s="1" t="s">
        <v>351</v>
      </c>
    </row>
    <row r="98" customFormat="false" ht="15" hidden="false" customHeight="true" outlineLevel="0" collapsed="false">
      <c r="A98" s="74" t="s">
        <v>352</v>
      </c>
      <c r="J98" s="1" t="s">
        <v>353</v>
      </c>
    </row>
    <row r="99" customFormat="false" ht="15" hidden="false" customHeight="true" outlineLevel="0" collapsed="false">
      <c r="A99" s="78" t="s">
        <v>354</v>
      </c>
      <c r="B99" s="79" t="s">
        <v>355</v>
      </c>
      <c r="J99" s="1" t="s">
        <v>356</v>
      </c>
    </row>
    <row r="100" customFormat="false" ht="15" hidden="false" customHeight="true" outlineLevel="0" collapsed="false">
      <c r="A100" s="80" t="s">
        <v>357</v>
      </c>
      <c r="J100" s="1" t="s">
        <v>358</v>
      </c>
    </row>
    <row r="101" customFormat="false" ht="15" hidden="false" customHeight="true" outlineLevel="0" collapsed="false">
      <c r="J101" s="1" t="s">
        <v>359</v>
      </c>
    </row>
    <row r="102" customFormat="false" ht="15" hidden="false" customHeight="true" outlineLevel="0" collapsed="false">
      <c r="A102" s="73" t="s">
        <v>360</v>
      </c>
      <c r="J102" s="1" t="s">
        <v>361</v>
      </c>
    </row>
    <row r="103" customFormat="false" ht="15" hidden="false" customHeight="true" outlineLevel="0" collapsed="false">
      <c r="J103" s="1" t="s">
        <v>362</v>
      </c>
    </row>
    <row r="104" customFormat="false" ht="15" hidden="false" customHeight="true" outlineLevel="0" collapsed="false">
      <c r="A104" s="73" t="s">
        <v>363</v>
      </c>
      <c r="J104" s="1" t="s">
        <v>364</v>
      </c>
    </row>
    <row r="105" customFormat="false" ht="15" hidden="false" customHeight="true" outlineLevel="0" collapsed="false">
      <c r="J105" s="1" t="s">
        <v>365</v>
      </c>
    </row>
    <row r="106" customFormat="false" ht="15" hidden="false" customHeight="true" outlineLevel="0" collapsed="false">
      <c r="J106" s="1" t="s">
        <v>366</v>
      </c>
    </row>
    <row r="107" customFormat="false" ht="15" hidden="false" customHeight="true" outlineLevel="0" collapsed="false">
      <c r="A107" s="74" t="s">
        <v>367</v>
      </c>
      <c r="J107" s="1" t="s">
        <v>368</v>
      </c>
    </row>
    <row r="108" customFormat="false" ht="15" hidden="false" customHeight="true" outlineLevel="0" collapsed="false">
      <c r="A108" s="75" t="s">
        <v>257</v>
      </c>
      <c r="B108" s="75" t="s">
        <v>117</v>
      </c>
      <c r="C108" s="75"/>
      <c r="D108" s="81" t="s">
        <v>369</v>
      </c>
      <c r="J108" s="1" t="s">
        <v>370</v>
      </c>
    </row>
    <row r="109" customFormat="false" ht="45" hidden="false" customHeight="true" outlineLevel="0" collapsed="false">
      <c r="A109" s="76" t="s">
        <v>264</v>
      </c>
      <c r="B109" s="77" t="n">
        <v>20</v>
      </c>
      <c r="C109" s="82"/>
      <c r="D109" s="82" t="s">
        <v>371</v>
      </c>
      <c r="J109" s="1" t="s">
        <v>372</v>
      </c>
    </row>
    <row r="110" customFormat="false" ht="45" hidden="false" customHeight="true" outlineLevel="0" collapsed="false">
      <c r="A110" s="76" t="s">
        <v>373</v>
      </c>
      <c r="B110" s="77" t="n">
        <v>20</v>
      </c>
      <c r="C110" s="82"/>
      <c r="D110" s="82" t="s">
        <v>374</v>
      </c>
      <c r="J110" s="1" t="s">
        <v>375</v>
      </c>
    </row>
    <row r="111" customFormat="false" ht="45" hidden="false" customHeight="true" outlineLevel="0" collapsed="false">
      <c r="A111" s="76" t="s">
        <v>376</v>
      </c>
      <c r="B111" s="77" t="n">
        <v>20</v>
      </c>
      <c r="C111" s="82"/>
      <c r="D111" s="82" t="s">
        <v>377</v>
      </c>
      <c r="J111" s="1" t="s">
        <v>378</v>
      </c>
    </row>
    <row r="112" customFormat="false" ht="45" hidden="false" customHeight="true" outlineLevel="0" collapsed="false">
      <c r="A112" s="76" t="s">
        <v>379</v>
      </c>
      <c r="B112" s="77" t="n">
        <v>20</v>
      </c>
      <c r="C112" s="82"/>
      <c r="D112" s="82" t="s">
        <v>380</v>
      </c>
      <c r="J112" s="1" t="s">
        <v>381</v>
      </c>
    </row>
    <row r="113" customFormat="false" ht="45" hidden="false" customHeight="true" outlineLevel="0" collapsed="false">
      <c r="A113" s="76" t="s">
        <v>262</v>
      </c>
      <c r="B113" s="77" t="n">
        <v>20</v>
      </c>
      <c r="C113" s="82"/>
      <c r="D113" s="82" t="s">
        <v>382</v>
      </c>
      <c r="J113" s="1" t="s">
        <v>383</v>
      </c>
    </row>
    <row r="114" customFormat="false" ht="15" hidden="false" customHeight="true" outlineLevel="0" collapsed="false">
      <c r="J114" s="1" t="s">
        <v>384</v>
      </c>
    </row>
    <row r="115" customFormat="false" ht="15" hidden="false" customHeight="true" outlineLevel="0" collapsed="false">
      <c r="A115" s="73" t="s">
        <v>385</v>
      </c>
      <c r="J115" s="1" t="s">
        <v>386</v>
      </c>
    </row>
    <row r="116" customFormat="false" ht="15" hidden="false" customHeight="true" outlineLevel="0" collapsed="false">
      <c r="A116" s="74" t="s">
        <v>387</v>
      </c>
      <c r="J116" s="1" t="s">
        <v>388</v>
      </c>
    </row>
    <row r="117" customFormat="false" ht="15" hidden="false" customHeight="true" outlineLevel="0" collapsed="false">
      <c r="A117" s="81" t="s">
        <v>389</v>
      </c>
      <c r="B117" s="81" t="s">
        <v>193</v>
      </c>
      <c r="J117" s="1" t="s">
        <v>390</v>
      </c>
    </row>
    <row r="118" customFormat="false" ht="15" hidden="false" customHeight="true" outlineLevel="0" collapsed="false">
      <c r="A118" s="83" t="s">
        <v>186</v>
      </c>
      <c r="B118" s="83" t="s">
        <v>202</v>
      </c>
      <c r="J118" s="1" t="s">
        <v>391</v>
      </c>
    </row>
    <row r="119" customFormat="false" ht="15" hidden="false" customHeight="true" outlineLevel="0" collapsed="false">
      <c r="A119" s="83" t="s">
        <v>189</v>
      </c>
      <c r="B119" s="83" t="s">
        <v>202</v>
      </c>
      <c r="J119" s="1" t="s">
        <v>392</v>
      </c>
    </row>
    <row r="120" customFormat="false" ht="15" hidden="false" customHeight="true" outlineLevel="0" collapsed="false">
      <c r="A120" s="83" t="s">
        <v>190</v>
      </c>
      <c r="B120" s="83" t="s">
        <v>200</v>
      </c>
      <c r="J120" s="1" t="s">
        <v>393</v>
      </c>
    </row>
    <row r="121" customFormat="false" ht="15" hidden="false" customHeight="true" outlineLevel="0" collapsed="false">
      <c r="A121" s="83" t="s">
        <v>192</v>
      </c>
      <c r="B121" s="83" t="s">
        <v>175</v>
      </c>
      <c r="J121" s="1" t="s">
        <v>394</v>
      </c>
    </row>
    <row r="122" customFormat="false" ht="15" hidden="false" customHeight="true" outlineLevel="0" collapsed="false">
      <c r="A122" s="83" t="s">
        <v>195</v>
      </c>
      <c r="B122" s="83" t="s">
        <v>146</v>
      </c>
      <c r="J122" s="1" t="s">
        <v>395</v>
      </c>
    </row>
    <row r="123" customFormat="false" ht="15" hidden="false" customHeight="true" outlineLevel="0" collapsed="false">
      <c r="A123" s="83" t="s">
        <v>197</v>
      </c>
      <c r="B123" s="83" t="s">
        <v>146</v>
      </c>
      <c r="J123" s="1" t="s">
        <v>396</v>
      </c>
    </row>
    <row r="124" customFormat="false" ht="15" hidden="false" customHeight="true" outlineLevel="0" collapsed="false">
      <c r="A124" s="83" t="s">
        <v>198</v>
      </c>
      <c r="B124" s="83" t="s">
        <v>146</v>
      </c>
      <c r="J124" s="1" t="s">
        <v>397</v>
      </c>
    </row>
    <row r="125" customFormat="false" ht="15" hidden="false" customHeight="true" outlineLevel="0" collapsed="false">
      <c r="A125" s="83" t="s">
        <v>199</v>
      </c>
      <c r="B125" s="83" t="s">
        <v>156</v>
      </c>
      <c r="J125" s="1" t="s">
        <v>398</v>
      </c>
    </row>
    <row r="126" customFormat="false" ht="15" hidden="false" customHeight="true" outlineLevel="0" collapsed="false">
      <c r="A126" s="83" t="s">
        <v>201</v>
      </c>
      <c r="B126" s="83" t="s">
        <v>156</v>
      </c>
      <c r="J126" s="1" t="s">
        <v>399</v>
      </c>
    </row>
    <row r="127" customFormat="false" ht="15" hidden="false" customHeight="true" outlineLevel="0" collapsed="false">
      <c r="A127" s="83" t="s">
        <v>203</v>
      </c>
      <c r="B127" s="83" t="s">
        <v>156</v>
      </c>
      <c r="J127" s="1" t="s">
        <v>400</v>
      </c>
    </row>
    <row r="128" customFormat="false" ht="15" hidden="false" customHeight="true" outlineLevel="0" collapsed="false">
      <c r="A128" s="83" t="s">
        <v>205</v>
      </c>
      <c r="B128" s="83" t="s">
        <v>175</v>
      </c>
      <c r="J128" s="1" t="s">
        <v>401</v>
      </c>
    </row>
    <row r="129" customFormat="false" ht="15" hidden="false" customHeight="true" outlineLevel="0" collapsed="false">
      <c r="A129" s="83" t="s">
        <v>207</v>
      </c>
      <c r="B129" s="83" t="s">
        <v>161</v>
      </c>
      <c r="J129" s="1" t="s">
        <v>402</v>
      </c>
    </row>
    <row r="130" customFormat="false" ht="15" hidden="false" customHeight="true" outlineLevel="0" collapsed="false">
      <c r="A130" s="83" t="s">
        <v>209</v>
      </c>
      <c r="B130" s="83" t="s">
        <v>146</v>
      </c>
      <c r="J130" s="1" t="s">
        <v>403</v>
      </c>
    </row>
    <row r="131" customFormat="false" ht="15" hidden="false" customHeight="true" outlineLevel="0" collapsed="false">
      <c r="A131" s="83" t="s">
        <v>210</v>
      </c>
      <c r="B131" s="83" t="s">
        <v>146</v>
      </c>
      <c r="J131" s="1" t="s">
        <v>404</v>
      </c>
    </row>
    <row r="132" customFormat="false" ht="15" hidden="false" customHeight="true" outlineLevel="0" collapsed="false">
      <c r="A132" s="83" t="s">
        <v>211</v>
      </c>
      <c r="B132" s="83" t="s">
        <v>200</v>
      </c>
      <c r="J132" s="1" t="s">
        <v>405</v>
      </c>
    </row>
    <row r="133" customFormat="false" ht="15" hidden="false" customHeight="true" outlineLevel="0" collapsed="false">
      <c r="A133" s="83" t="s">
        <v>212</v>
      </c>
      <c r="B133" s="83" t="s">
        <v>156</v>
      </c>
      <c r="J133" s="1" t="s">
        <v>406</v>
      </c>
    </row>
    <row r="134" customFormat="false" ht="15" hidden="false" customHeight="true" outlineLevel="0" collapsed="false">
      <c r="A134" s="83" t="s">
        <v>213</v>
      </c>
      <c r="B134" s="83" t="s">
        <v>175</v>
      </c>
      <c r="J134" s="1" t="s">
        <v>407</v>
      </c>
    </row>
    <row r="135" customFormat="false" ht="15" hidden="false" customHeight="true" outlineLevel="0" collapsed="false">
      <c r="A135" s="83" t="s">
        <v>215</v>
      </c>
      <c r="B135" s="83" t="s">
        <v>175</v>
      </c>
      <c r="J135" s="1" t="s">
        <v>408</v>
      </c>
    </row>
    <row r="136" customFormat="false" ht="15" hidden="false" customHeight="true" outlineLevel="0" collapsed="false">
      <c r="A136" s="83" t="s">
        <v>217</v>
      </c>
      <c r="B136" s="83" t="s">
        <v>146</v>
      </c>
      <c r="J136" s="1" t="s">
        <v>409</v>
      </c>
    </row>
    <row r="137" customFormat="false" ht="15" hidden="false" customHeight="true" outlineLevel="0" collapsed="false">
      <c r="A137" s="83" t="s">
        <v>219</v>
      </c>
      <c r="B137" s="83" t="s">
        <v>206</v>
      </c>
      <c r="J137" s="1" t="s">
        <v>410</v>
      </c>
    </row>
    <row r="138" customFormat="false" ht="15" hidden="false" customHeight="true" outlineLevel="0" collapsed="false">
      <c r="A138" s="83" t="s">
        <v>220</v>
      </c>
      <c r="B138" s="83" t="s">
        <v>175</v>
      </c>
      <c r="J138" s="1" t="s">
        <v>411</v>
      </c>
    </row>
    <row r="139" customFormat="false" ht="15" hidden="false" customHeight="true" outlineLevel="0" collapsed="false">
      <c r="A139" s="83" t="s">
        <v>221</v>
      </c>
      <c r="B139" s="83" t="s">
        <v>146</v>
      </c>
      <c r="J139" s="1" t="s">
        <v>412</v>
      </c>
    </row>
    <row r="140" customFormat="false" ht="15" hidden="false" customHeight="true" outlineLevel="0" collapsed="false">
      <c r="A140" s="83" t="s">
        <v>222</v>
      </c>
      <c r="B140" s="83" t="s">
        <v>146</v>
      </c>
      <c r="J140" s="1" t="s">
        <v>413</v>
      </c>
    </row>
    <row r="141" customFormat="false" ht="15" hidden="false" customHeight="true" outlineLevel="0" collapsed="false">
      <c r="A141" s="83" t="s">
        <v>224</v>
      </c>
      <c r="B141" s="83" t="s">
        <v>161</v>
      </c>
      <c r="J141" s="1" t="s">
        <v>414</v>
      </c>
    </row>
    <row r="142" customFormat="false" ht="15" hidden="false" customHeight="true" outlineLevel="0" collapsed="false">
      <c r="A142" s="83" t="s">
        <v>226</v>
      </c>
      <c r="B142" s="83" t="s">
        <v>206</v>
      </c>
      <c r="J142" s="1" t="s">
        <v>415</v>
      </c>
    </row>
    <row r="143" customFormat="false" ht="15" hidden="false" customHeight="true" outlineLevel="0" collapsed="false">
      <c r="A143" s="83" t="s">
        <v>229</v>
      </c>
      <c r="B143" s="83" t="s">
        <v>161</v>
      </c>
      <c r="J143" s="1" t="s">
        <v>416</v>
      </c>
    </row>
    <row r="144" customFormat="false" ht="15" hidden="false" customHeight="true" outlineLevel="0" collapsed="false">
      <c r="A144" s="83" t="s">
        <v>232</v>
      </c>
      <c r="B144" s="83" t="s">
        <v>206</v>
      </c>
      <c r="J144" s="1" t="s">
        <v>417</v>
      </c>
    </row>
    <row r="145" customFormat="false" ht="15" hidden="false" customHeight="true" outlineLevel="0" collapsed="false">
      <c r="A145" s="83" t="s">
        <v>235</v>
      </c>
      <c r="B145" s="83" t="s">
        <v>146</v>
      </c>
      <c r="J145" s="1" t="s">
        <v>418</v>
      </c>
    </row>
    <row r="146" customFormat="false" ht="15" hidden="false" customHeight="true" outlineLevel="0" collapsed="false">
      <c r="A146" s="83" t="s">
        <v>238</v>
      </c>
      <c r="B146" s="83" t="s">
        <v>175</v>
      </c>
      <c r="J146" s="1" t="s">
        <v>419</v>
      </c>
    </row>
    <row r="147" customFormat="false" ht="15" hidden="false" customHeight="true" outlineLevel="0" collapsed="false">
      <c r="A147" s="83" t="s">
        <v>241</v>
      </c>
      <c r="B147" s="83" t="s">
        <v>175</v>
      </c>
      <c r="J147" s="1" t="s">
        <v>420</v>
      </c>
    </row>
    <row r="148" customFormat="false" ht="15" hidden="false" customHeight="true" outlineLevel="0" collapsed="false">
      <c r="A148" s="83" t="s">
        <v>242</v>
      </c>
      <c r="B148" s="83" t="s">
        <v>202</v>
      </c>
      <c r="J148" s="1" t="s">
        <v>421</v>
      </c>
    </row>
    <row r="149" customFormat="false" ht="15" hidden="false" customHeight="true" outlineLevel="0" collapsed="false">
      <c r="A149" s="83" t="s">
        <v>243</v>
      </c>
      <c r="B149" s="83" t="s">
        <v>146</v>
      </c>
      <c r="J149" s="1" t="s">
        <v>422</v>
      </c>
    </row>
    <row r="150" customFormat="false" ht="15" hidden="false" customHeight="true" outlineLevel="0" collapsed="false">
      <c r="A150" s="83" t="s">
        <v>245</v>
      </c>
      <c r="B150" s="83" t="s">
        <v>200</v>
      </c>
      <c r="J150" s="1" t="s">
        <v>423</v>
      </c>
    </row>
    <row r="151" customFormat="false" ht="15" hidden="false" customHeight="true" outlineLevel="0" collapsed="false">
      <c r="A151" s="83" t="s">
        <v>248</v>
      </c>
      <c r="B151" s="83" t="s">
        <v>202</v>
      </c>
      <c r="J151" s="1" t="s">
        <v>424</v>
      </c>
    </row>
    <row r="152" customFormat="false" ht="15" hidden="false" customHeight="true" outlineLevel="0" collapsed="false">
      <c r="A152" s="83" t="s">
        <v>250</v>
      </c>
      <c r="B152" s="83" t="s">
        <v>156</v>
      </c>
      <c r="J152" s="1" t="s">
        <v>425</v>
      </c>
    </row>
    <row r="153" customFormat="false" ht="15" hidden="false" customHeight="true" outlineLevel="0" collapsed="false">
      <c r="A153" s="83" t="s">
        <v>252</v>
      </c>
      <c r="B153" s="83" t="s">
        <v>146</v>
      </c>
      <c r="J153" s="1" t="s">
        <v>426</v>
      </c>
    </row>
    <row r="154" customFormat="false" ht="15" hidden="false" customHeight="true" outlineLevel="0" collapsed="false">
      <c r="A154" s="83" t="s">
        <v>253</v>
      </c>
      <c r="B154" s="83" t="s">
        <v>156</v>
      </c>
      <c r="J154" s="1" t="s">
        <v>427</v>
      </c>
    </row>
    <row r="155" customFormat="false" ht="15" hidden="false" customHeight="true" outlineLevel="0" collapsed="false">
      <c r="A155" s="83" t="s">
        <v>254</v>
      </c>
      <c r="B155" s="83" t="s">
        <v>204</v>
      </c>
      <c r="J155" s="1" t="s">
        <v>428</v>
      </c>
    </row>
    <row r="156" customFormat="false" ht="15" hidden="false" customHeight="true" outlineLevel="0" collapsed="false">
      <c r="A156" s="83" t="s">
        <v>256</v>
      </c>
      <c r="B156" s="83" t="s">
        <v>146</v>
      </c>
      <c r="J156" s="1" t="s">
        <v>429</v>
      </c>
    </row>
    <row r="157" customFormat="false" ht="15" hidden="false" customHeight="true" outlineLevel="0" collapsed="false">
      <c r="A157" s="83" t="s">
        <v>258</v>
      </c>
      <c r="B157" s="83" t="s">
        <v>204</v>
      </c>
      <c r="J157" s="1" t="s">
        <v>430</v>
      </c>
    </row>
    <row r="158" customFormat="false" ht="15" hidden="false" customHeight="true" outlineLevel="0" collapsed="false">
      <c r="A158" s="83" t="s">
        <v>259</v>
      </c>
      <c r="B158" s="83" t="s">
        <v>202</v>
      </c>
      <c r="J158" s="1" t="s">
        <v>431</v>
      </c>
    </row>
    <row r="159" customFormat="false" ht="15" hidden="false" customHeight="true" outlineLevel="0" collapsed="false">
      <c r="A159" s="83" t="s">
        <v>261</v>
      </c>
      <c r="B159" s="83" t="s">
        <v>156</v>
      </c>
      <c r="J159" s="1" t="s">
        <v>432</v>
      </c>
    </row>
    <row r="160" customFormat="false" ht="15" hidden="false" customHeight="true" outlineLevel="0" collapsed="false">
      <c r="A160" s="83" t="s">
        <v>263</v>
      </c>
      <c r="B160" s="83" t="s">
        <v>156</v>
      </c>
      <c r="J160" s="1" t="s">
        <v>433</v>
      </c>
    </row>
    <row r="161" customFormat="false" ht="15" hidden="false" customHeight="true" outlineLevel="0" collapsed="false">
      <c r="A161" s="83" t="s">
        <v>265</v>
      </c>
      <c r="B161" s="83" t="s">
        <v>156</v>
      </c>
      <c r="J161" s="1" t="s">
        <v>434</v>
      </c>
    </row>
    <row r="162" customFormat="false" ht="15" hidden="false" customHeight="true" outlineLevel="0" collapsed="false">
      <c r="A162" s="83" t="s">
        <v>266</v>
      </c>
      <c r="B162" s="83" t="s">
        <v>200</v>
      </c>
      <c r="J162" s="1" t="s">
        <v>435</v>
      </c>
    </row>
    <row r="163" customFormat="false" ht="15" hidden="false" customHeight="true" outlineLevel="0" collapsed="false">
      <c r="A163" s="83" t="s">
        <v>267</v>
      </c>
      <c r="B163" s="83" t="s">
        <v>156</v>
      </c>
      <c r="J163" s="1" t="s">
        <v>436</v>
      </c>
    </row>
    <row r="164" customFormat="false" ht="15" hidden="false" customHeight="true" outlineLevel="0" collapsed="false">
      <c r="A164" s="83" t="s">
        <v>269</v>
      </c>
      <c r="B164" s="83" t="s">
        <v>156</v>
      </c>
      <c r="J164" s="1" t="s">
        <v>437</v>
      </c>
    </row>
    <row r="165" customFormat="false" ht="15" hidden="false" customHeight="true" outlineLevel="0" collapsed="false">
      <c r="A165" s="83" t="s">
        <v>270</v>
      </c>
      <c r="B165" s="83" t="s">
        <v>175</v>
      </c>
      <c r="J165" s="1" t="s">
        <v>438</v>
      </c>
    </row>
    <row r="166" customFormat="false" ht="15" hidden="false" customHeight="true" outlineLevel="0" collapsed="false">
      <c r="A166" s="83" t="s">
        <v>271</v>
      </c>
      <c r="B166" s="83" t="s">
        <v>146</v>
      </c>
      <c r="J166" s="1" t="s">
        <v>439</v>
      </c>
    </row>
    <row r="167" customFormat="false" ht="15" hidden="false" customHeight="true" outlineLevel="0" collapsed="false">
      <c r="A167" s="83" t="s">
        <v>272</v>
      </c>
      <c r="B167" s="83" t="s">
        <v>202</v>
      </c>
      <c r="J167" s="1" t="s">
        <v>440</v>
      </c>
    </row>
    <row r="168" customFormat="false" ht="15" hidden="false" customHeight="true" outlineLevel="0" collapsed="false">
      <c r="A168" s="83" t="s">
        <v>273</v>
      </c>
      <c r="B168" s="83" t="s">
        <v>204</v>
      </c>
      <c r="J168" s="1" t="s">
        <v>441</v>
      </c>
    </row>
    <row r="169" customFormat="false" ht="15" hidden="false" customHeight="true" outlineLevel="0" collapsed="false">
      <c r="A169" s="83" t="s">
        <v>274</v>
      </c>
      <c r="B169" s="83" t="s">
        <v>161</v>
      </c>
      <c r="J169" s="1" t="s">
        <v>442</v>
      </c>
    </row>
    <row r="170" customFormat="false" ht="15" hidden="false" customHeight="true" outlineLevel="0" collapsed="false">
      <c r="A170" s="83" t="s">
        <v>275</v>
      </c>
      <c r="B170" s="83" t="s">
        <v>175</v>
      </c>
      <c r="J170" s="1" t="s">
        <v>443</v>
      </c>
    </row>
    <row r="171" customFormat="false" ht="15" hidden="false" customHeight="true" outlineLevel="0" collapsed="false">
      <c r="A171" s="83" t="s">
        <v>277</v>
      </c>
      <c r="B171" s="83" t="s">
        <v>156</v>
      </c>
      <c r="J171" s="1" t="s">
        <v>444</v>
      </c>
    </row>
    <row r="172" customFormat="false" ht="15" hidden="false" customHeight="true" outlineLevel="0" collapsed="false">
      <c r="A172" s="83" t="s">
        <v>278</v>
      </c>
      <c r="B172" s="83" t="s">
        <v>202</v>
      </c>
      <c r="J172" s="1" t="s">
        <v>445</v>
      </c>
    </row>
    <row r="173" customFormat="false" ht="15" hidden="false" customHeight="true" outlineLevel="0" collapsed="false">
      <c r="A173" s="83" t="s">
        <v>279</v>
      </c>
      <c r="B173" s="83" t="s">
        <v>202</v>
      </c>
      <c r="J173" s="1" t="s">
        <v>446</v>
      </c>
    </row>
    <row r="174" customFormat="false" ht="15" hidden="false" customHeight="true" outlineLevel="0" collapsed="false">
      <c r="A174" s="83" t="s">
        <v>281</v>
      </c>
      <c r="B174" s="83" t="s">
        <v>196</v>
      </c>
      <c r="J174" s="1" t="s">
        <v>447</v>
      </c>
    </row>
    <row r="175" customFormat="false" ht="15" hidden="false" customHeight="true" outlineLevel="0" collapsed="false">
      <c r="A175" s="83" t="s">
        <v>284</v>
      </c>
      <c r="B175" s="83" t="s">
        <v>146</v>
      </c>
      <c r="J175" s="1" t="s">
        <v>448</v>
      </c>
    </row>
    <row r="176" customFormat="false" ht="15" hidden="false" customHeight="true" outlineLevel="0" collapsed="false">
      <c r="A176" s="83" t="s">
        <v>286</v>
      </c>
      <c r="B176" s="83" t="s">
        <v>204</v>
      </c>
      <c r="J176" s="1" t="s">
        <v>449</v>
      </c>
    </row>
    <row r="177" customFormat="false" ht="15" hidden="false" customHeight="true" outlineLevel="0" collapsed="false">
      <c r="A177" s="83" t="s">
        <v>288</v>
      </c>
      <c r="B177" s="83" t="s">
        <v>161</v>
      </c>
      <c r="J177" s="1" t="s">
        <v>450</v>
      </c>
    </row>
    <row r="178" customFormat="false" ht="15" hidden="false" customHeight="true" outlineLevel="0" collapsed="false">
      <c r="A178" s="83" t="s">
        <v>290</v>
      </c>
      <c r="B178" s="83" t="s">
        <v>204</v>
      </c>
      <c r="J178" s="1" t="s">
        <v>451</v>
      </c>
    </row>
    <row r="179" customFormat="false" ht="15" hidden="false" customHeight="true" outlineLevel="0" collapsed="false">
      <c r="A179" s="83" t="s">
        <v>292</v>
      </c>
      <c r="B179" s="83" t="s">
        <v>146</v>
      </c>
      <c r="J179" s="1" t="s">
        <v>452</v>
      </c>
    </row>
    <row r="180" customFormat="false" ht="15" hidden="false" customHeight="true" outlineLevel="0" collapsed="false">
      <c r="A180" s="83" t="s">
        <v>294</v>
      </c>
      <c r="B180" s="83" t="s">
        <v>175</v>
      </c>
      <c r="J180" s="1" t="s">
        <v>453</v>
      </c>
    </row>
    <row r="181" customFormat="false" ht="15" hidden="false" customHeight="true" outlineLevel="0" collapsed="false">
      <c r="A181" s="83" t="s">
        <v>296</v>
      </c>
      <c r="B181" s="83" t="s">
        <v>156</v>
      </c>
      <c r="J181" s="1" t="s">
        <v>454</v>
      </c>
    </row>
    <row r="182" customFormat="false" ht="15" hidden="false" customHeight="true" outlineLevel="0" collapsed="false">
      <c r="A182" s="83" t="s">
        <v>298</v>
      </c>
      <c r="B182" s="83" t="s">
        <v>175</v>
      </c>
      <c r="J182" s="1" t="s">
        <v>455</v>
      </c>
    </row>
    <row r="183" customFormat="false" ht="15" hidden="false" customHeight="true" outlineLevel="0" collapsed="false">
      <c r="A183" s="83" t="s">
        <v>300</v>
      </c>
      <c r="B183" s="83" t="s">
        <v>202</v>
      </c>
      <c r="J183" s="1" t="s">
        <v>456</v>
      </c>
    </row>
    <row r="184" customFormat="false" ht="15" hidden="false" customHeight="true" outlineLevel="0" collapsed="false">
      <c r="A184" s="83" t="s">
        <v>302</v>
      </c>
      <c r="B184" s="83" t="s">
        <v>202</v>
      </c>
      <c r="J184" s="1" t="s">
        <v>457</v>
      </c>
    </row>
    <row r="185" customFormat="false" ht="15" hidden="false" customHeight="true" outlineLevel="0" collapsed="false">
      <c r="A185" s="83" t="s">
        <v>304</v>
      </c>
      <c r="B185" s="83" t="s">
        <v>156</v>
      </c>
      <c r="J185" s="1" t="s">
        <v>458</v>
      </c>
    </row>
    <row r="186" customFormat="false" ht="15" hidden="false" customHeight="true" outlineLevel="0" collapsed="false">
      <c r="A186" s="83" t="s">
        <v>306</v>
      </c>
      <c r="B186" s="83" t="s">
        <v>200</v>
      </c>
      <c r="J186" s="1" t="s">
        <v>459</v>
      </c>
    </row>
    <row r="187" customFormat="false" ht="15" hidden="false" customHeight="true" outlineLevel="0" collapsed="false">
      <c r="A187" s="83" t="s">
        <v>308</v>
      </c>
      <c r="B187" s="83" t="s">
        <v>156</v>
      </c>
      <c r="J187" s="1" t="s">
        <v>460</v>
      </c>
    </row>
    <row r="188" customFormat="false" ht="15" hidden="false" customHeight="true" outlineLevel="0" collapsed="false">
      <c r="A188" s="83" t="s">
        <v>310</v>
      </c>
      <c r="B188" s="83" t="s">
        <v>200</v>
      </c>
      <c r="J188" s="1" t="s">
        <v>461</v>
      </c>
    </row>
    <row r="189" customFormat="false" ht="15" hidden="false" customHeight="true" outlineLevel="0" collapsed="false">
      <c r="A189" s="83" t="s">
        <v>312</v>
      </c>
      <c r="B189" s="83" t="s">
        <v>156</v>
      </c>
      <c r="J189" s="1" t="s">
        <v>462</v>
      </c>
    </row>
    <row r="190" customFormat="false" ht="15" hidden="false" customHeight="true" outlineLevel="0" collapsed="false">
      <c r="A190" s="83" t="s">
        <v>313</v>
      </c>
      <c r="B190" s="83" t="s">
        <v>161</v>
      </c>
      <c r="J190" s="1" t="s">
        <v>463</v>
      </c>
    </row>
    <row r="191" customFormat="false" ht="15" hidden="false" customHeight="true" outlineLevel="0" collapsed="false">
      <c r="A191" s="83" t="s">
        <v>315</v>
      </c>
      <c r="B191" s="83" t="s">
        <v>161</v>
      </c>
      <c r="J191" s="1" t="s">
        <v>464</v>
      </c>
    </row>
    <row r="192" customFormat="false" ht="15" hidden="false" customHeight="true" outlineLevel="0" collapsed="false">
      <c r="A192" s="83" t="s">
        <v>317</v>
      </c>
      <c r="B192" s="83" t="s">
        <v>161</v>
      </c>
      <c r="J192" s="1" t="s">
        <v>465</v>
      </c>
    </row>
    <row r="193" customFormat="false" ht="15" hidden="false" customHeight="true" outlineLevel="0" collapsed="false">
      <c r="A193" s="83" t="s">
        <v>319</v>
      </c>
      <c r="B193" s="83" t="s">
        <v>161</v>
      </c>
      <c r="J193" s="1" t="s">
        <v>466</v>
      </c>
    </row>
    <row r="194" customFormat="false" ht="15" hidden="false" customHeight="true" outlineLevel="0" collapsed="false">
      <c r="A194" s="83" t="s">
        <v>320</v>
      </c>
      <c r="B194" s="83" t="s">
        <v>161</v>
      </c>
      <c r="J194" s="1" t="s">
        <v>467</v>
      </c>
    </row>
    <row r="195" customFormat="false" ht="15" hidden="false" customHeight="true" outlineLevel="0" collapsed="false">
      <c r="A195" s="83" t="s">
        <v>321</v>
      </c>
      <c r="B195" s="83" t="s">
        <v>156</v>
      </c>
      <c r="J195" s="1" t="s">
        <v>468</v>
      </c>
    </row>
    <row r="196" customFormat="false" ht="15" hidden="false" customHeight="true" outlineLevel="0" collapsed="false">
      <c r="A196" s="83" t="s">
        <v>323</v>
      </c>
      <c r="B196" s="83" t="s">
        <v>156</v>
      </c>
      <c r="J196" s="1" t="s">
        <v>469</v>
      </c>
    </row>
    <row r="197" customFormat="false" ht="15" hidden="false" customHeight="true" outlineLevel="0" collapsed="false">
      <c r="A197" s="83" t="s">
        <v>327</v>
      </c>
      <c r="B197" s="83" t="s">
        <v>204</v>
      </c>
      <c r="J197" s="1" t="s">
        <v>470</v>
      </c>
    </row>
    <row r="198" customFormat="false" ht="15" hidden="false" customHeight="true" outlineLevel="0" collapsed="false">
      <c r="A198" s="83" t="s">
        <v>329</v>
      </c>
      <c r="B198" s="83" t="s">
        <v>204</v>
      </c>
      <c r="J198" s="1" t="s">
        <v>471</v>
      </c>
    </row>
    <row r="199" customFormat="false" ht="15" hidden="false" customHeight="true" outlineLevel="0" collapsed="false">
      <c r="A199" s="83" t="s">
        <v>331</v>
      </c>
      <c r="B199" s="83" t="s">
        <v>146</v>
      </c>
      <c r="J199" s="1" t="s">
        <v>196</v>
      </c>
    </row>
    <row r="200" customFormat="false" ht="15" hidden="false" customHeight="true" outlineLevel="0" collapsed="false">
      <c r="A200" s="83" t="s">
        <v>333</v>
      </c>
      <c r="B200" s="83" t="s">
        <v>146</v>
      </c>
      <c r="J200" s="1" t="s">
        <v>156</v>
      </c>
    </row>
    <row r="201" customFormat="false" ht="15" hidden="false" customHeight="true" outlineLevel="0" collapsed="false">
      <c r="A201" s="83" t="s">
        <v>335</v>
      </c>
      <c r="B201" s="83" t="s">
        <v>200</v>
      </c>
      <c r="J201" s="1" t="s">
        <v>175</v>
      </c>
    </row>
    <row r="202" customFormat="false" ht="15" hidden="false" customHeight="true" outlineLevel="0" collapsed="false">
      <c r="A202" s="83" t="s">
        <v>336</v>
      </c>
      <c r="B202" s="83" t="s">
        <v>156</v>
      </c>
      <c r="J202" s="1" t="s">
        <v>200</v>
      </c>
    </row>
    <row r="203" customFormat="false" ht="15" hidden="false" customHeight="true" outlineLevel="0" collapsed="false">
      <c r="A203" s="83" t="s">
        <v>337</v>
      </c>
      <c r="B203" s="83" t="s">
        <v>156</v>
      </c>
      <c r="J203" s="1" t="s">
        <v>202</v>
      </c>
    </row>
    <row r="204" customFormat="false" ht="15" hidden="false" customHeight="true" outlineLevel="0" collapsed="false">
      <c r="A204" s="83" t="s">
        <v>339</v>
      </c>
      <c r="B204" s="83" t="s">
        <v>204</v>
      </c>
      <c r="J204" s="1" t="s">
        <v>204</v>
      </c>
    </row>
    <row r="205" customFormat="false" ht="15" hidden="false" customHeight="true" outlineLevel="0" collapsed="false">
      <c r="A205" s="83" t="s">
        <v>341</v>
      </c>
      <c r="B205" s="83" t="s">
        <v>175</v>
      </c>
      <c r="J205" s="1" t="s">
        <v>206</v>
      </c>
    </row>
    <row r="206" customFormat="false" ht="15" hidden="false" customHeight="true" outlineLevel="0" collapsed="false">
      <c r="A206" s="83" t="s">
        <v>343</v>
      </c>
      <c r="B206" s="83" t="s">
        <v>146</v>
      </c>
      <c r="J206" s="1" t="s">
        <v>208</v>
      </c>
    </row>
    <row r="207" customFormat="false" ht="15" hidden="false" customHeight="true" outlineLevel="0" collapsed="false">
      <c r="A207" s="83" t="s">
        <v>344</v>
      </c>
      <c r="B207" s="83" t="s">
        <v>156</v>
      </c>
      <c r="J207" s="1" t="s">
        <v>146</v>
      </c>
    </row>
    <row r="208" customFormat="false" ht="15" hidden="false" customHeight="true" outlineLevel="0" collapsed="false">
      <c r="A208" s="83" t="s">
        <v>345</v>
      </c>
      <c r="B208" s="83" t="s">
        <v>200</v>
      </c>
      <c r="J208" s="1" t="s">
        <v>161</v>
      </c>
    </row>
    <row r="209" customFormat="false" ht="15" hidden="false" customHeight="true" outlineLevel="0" collapsed="false">
      <c r="A209" s="83" t="s">
        <v>347</v>
      </c>
      <c r="B209" s="83" t="s">
        <v>200</v>
      </c>
      <c r="J209" s="1" t="s">
        <v>218</v>
      </c>
    </row>
    <row r="210" customFormat="false" ht="15" hidden="false" customHeight="true" outlineLevel="0" collapsed="false">
      <c r="A210" s="83" t="s">
        <v>348</v>
      </c>
      <c r="B210" s="83" t="s">
        <v>146</v>
      </c>
      <c r="J210" s="1" t="s">
        <v>168</v>
      </c>
    </row>
    <row r="211" customFormat="false" ht="15" hidden="false" customHeight="true" outlineLevel="0" collapsed="false">
      <c r="A211" s="83" t="s">
        <v>349</v>
      </c>
      <c r="B211" s="83" t="s">
        <v>146</v>
      </c>
    </row>
    <row r="212" customFormat="false" ht="15" hidden="false" customHeight="true" outlineLevel="0" collapsed="false">
      <c r="A212" s="83" t="s">
        <v>350</v>
      </c>
      <c r="B212" s="83" t="s">
        <v>146</v>
      </c>
    </row>
    <row r="213" customFormat="false" ht="15" hidden="false" customHeight="true" outlineLevel="0" collapsed="false">
      <c r="A213" s="83" t="s">
        <v>351</v>
      </c>
      <c r="B213" s="83" t="s">
        <v>161</v>
      </c>
    </row>
    <row r="214" customFormat="false" ht="15" hidden="false" customHeight="true" outlineLevel="0" collapsed="false">
      <c r="A214" s="83" t="s">
        <v>353</v>
      </c>
      <c r="B214" s="83" t="s">
        <v>161</v>
      </c>
    </row>
    <row r="215" customFormat="false" ht="15" hidden="false" customHeight="true" outlineLevel="0" collapsed="false">
      <c r="A215" s="83" t="s">
        <v>356</v>
      </c>
      <c r="B215" s="83" t="s">
        <v>161</v>
      </c>
    </row>
    <row r="216" customFormat="false" ht="15" hidden="false" customHeight="true" outlineLevel="0" collapsed="false">
      <c r="A216" s="83" t="s">
        <v>358</v>
      </c>
      <c r="B216" s="83" t="s">
        <v>161</v>
      </c>
    </row>
    <row r="217" customFormat="false" ht="15" hidden="false" customHeight="true" outlineLevel="0" collapsed="false">
      <c r="A217" s="83" t="s">
        <v>359</v>
      </c>
      <c r="B217" s="83" t="s">
        <v>161</v>
      </c>
    </row>
    <row r="218" customFormat="false" ht="15" hidden="false" customHeight="true" outlineLevel="0" collapsed="false">
      <c r="A218" s="83" t="s">
        <v>361</v>
      </c>
      <c r="B218" s="83" t="s">
        <v>204</v>
      </c>
    </row>
    <row r="219" customFormat="false" ht="15" hidden="false" customHeight="true" outlineLevel="0" collapsed="false">
      <c r="A219" s="83" t="s">
        <v>362</v>
      </c>
      <c r="B219" s="83" t="s">
        <v>200</v>
      </c>
    </row>
    <row r="220" customFormat="false" ht="15" hidden="false" customHeight="true" outlineLevel="0" collapsed="false">
      <c r="A220" s="83" t="s">
        <v>364</v>
      </c>
      <c r="B220" s="83" t="s">
        <v>156</v>
      </c>
    </row>
    <row r="221" customFormat="false" ht="15" hidden="false" customHeight="true" outlineLevel="0" collapsed="false">
      <c r="A221" s="83" t="s">
        <v>365</v>
      </c>
      <c r="B221" s="83" t="s">
        <v>146</v>
      </c>
    </row>
    <row r="222" customFormat="false" ht="15" hidden="false" customHeight="true" outlineLevel="0" collapsed="false">
      <c r="A222" s="83" t="s">
        <v>366</v>
      </c>
      <c r="B222" s="83" t="s">
        <v>175</v>
      </c>
    </row>
    <row r="223" customFormat="false" ht="15" hidden="false" customHeight="true" outlineLevel="0" collapsed="false">
      <c r="A223" s="83" t="s">
        <v>368</v>
      </c>
      <c r="B223" s="83" t="s">
        <v>156</v>
      </c>
    </row>
    <row r="224" customFormat="false" ht="15" hidden="false" customHeight="true" outlineLevel="0" collapsed="false">
      <c r="A224" s="83" t="s">
        <v>370</v>
      </c>
      <c r="B224" s="83" t="s">
        <v>175</v>
      </c>
    </row>
    <row r="225" customFormat="false" ht="15" hidden="false" customHeight="true" outlineLevel="0" collapsed="false">
      <c r="A225" s="83" t="s">
        <v>372</v>
      </c>
      <c r="B225" s="83" t="s">
        <v>202</v>
      </c>
    </row>
    <row r="226" customFormat="false" ht="15" hidden="false" customHeight="true" outlineLevel="0" collapsed="false">
      <c r="A226" s="83" t="s">
        <v>375</v>
      </c>
      <c r="B226" s="83" t="s">
        <v>206</v>
      </c>
    </row>
    <row r="227" customFormat="false" ht="15" hidden="false" customHeight="true" outlineLevel="0" collapsed="false">
      <c r="A227" s="83" t="s">
        <v>378</v>
      </c>
      <c r="B227" s="83" t="s">
        <v>204</v>
      </c>
    </row>
    <row r="228" customFormat="false" ht="15" hidden="false" customHeight="true" outlineLevel="0" collapsed="false">
      <c r="A228" s="83" t="s">
        <v>381</v>
      </c>
      <c r="B228" s="83" t="s">
        <v>200</v>
      </c>
    </row>
    <row r="229" customFormat="false" ht="15" hidden="false" customHeight="true" outlineLevel="0" collapsed="false">
      <c r="A229" s="83" t="s">
        <v>383</v>
      </c>
      <c r="B229" s="83" t="s">
        <v>146</v>
      </c>
    </row>
    <row r="230" customFormat="false" ht="15" hidden="false" customHeight="true" outlineLevel="0" collapsed="false">
      <c r="A230" s="83" t="s">
        <v>384</v>
      </c>
      <c r="B230" s="83" t="s">
        <v>200</v>
      </c>
    </row>
    <row r="231" customFormat="false" ht="15" hidden="false" customHeight="true" outlineLevel="0" collapsed="false">
      <c r="A231" s="83" t="s">
        <v>386</v>
      </c>
      <c r="B231" s="83" t="s">
        <v>156</v>
      </c>
    </row>
    <row r="232" customFormat="false" ht="15" hidden="false" customHeight="true" outlineLevel="0" collapsed="false">
      <c r="A232" s="83" t="s">
        <v>388</v>
      </c>
      <c r="B232" s="83" t="s">
        <v>200</v>
      </c>
    </row>
    <row r="233" customFormat="false" ht="15" hidden="false" customHeight="true" outlineLevel="0" collapsed="false">
      <c r="A233" s="83" t="s">
        <v>390</v>
      </c>
      <c r="B233" s="83" t="s">
        <v>156</v>
      </c>
    </row>
    <row r="234" customFormat="false" ht="15" hidden="false" customHeight="true" outlineLevel="0" collapsed="false">
      <c r="A234" s="83" t="s">
        <v>391</v>
      </c>
      <c r="B234" s="83" t="s">
        <v>202</v>
      </c>
    </row>
    <row r="235" customFormat="false" ht="15" hidden="false" customHeight="true" outlineLevel="0" collapsed="false">
      <c r="A235" s="83" t="s">
        <v>392</v>
      </c>
      <c r="B235" s="83" t="s">
        <v>146</v>
      </c>
    </row>
    <row r="236" customFormat="false" ht="15" hidden="false" customHeight="true" outlineLevel="0" collapsed="false">
      <c r="A236" s="83" t="s">
        <v>393</v>
      </c>
      <c r="B236" s="83" t="s">
        <v>175</v>
      </c>
    </row>
    <row r="237" customFormat="false" ht="15" hidden="false" customHeight="true" outlineLevel="0" collapsed="false">
      <c r="A237" s="83" t="s">
        <v>394</v>
      </c>
      <c r="B237" s="83" t="s">
        <v>206</v>
      </c>
    </row>
    <row r="238" customFormat="false" ht="15" hidden="false" customHeight="true" outlineLevel="0" collapsed="false">
      <c r="A238" s="83" t="s">
        <v>395</v>
      </c>
      <c r="B238" s="83" t="s">
        <v>146</v>
      </c>
    </row>
    <row r="239" customFormat="false" ht="15" hidden="false" customHeight="true" outlineLevel="0" collapsed="false">
      <c r="A239" s="83" t="s">
        <v>396</v>
      </c>
      <c r="B239" s="83" t="s">
        <v>161</v>
      </c>
    </row>
    <row r="240" customFormat="false" ht="15" hidden="false" customHeight="true" outlineLevel="0" collapsed="false">
      <c r="A240" s="83" t="s">
        <v>397</v>
      </c>
      <c r="B240" s="83" t="s">
        <v>161</v>
      </c>
    </row>
    <row r="241" customFormat="false" ht="15" hidden="false" customHeight="true" outlineLevel="0" collapsed="false">
      <c r="A241" s="83" t="s">
        <v>398</v>
      </c>
      <c r="B241" s="83" t="s">
        <v>175</v>
      </c>
    </row>
    <row r="242" customFormat="false" ht="15" hidden="false" customHeight="true" outlineLevel="0" collapsed="false">
      <c r="A242" s="83" t="s">
        <v>399</v>
      </c>
      <c r="B242" s="83" t="s">
        <v>146</v>
      </c>
    </row>
    <row r="243" customFormat="false" ht="15" hidden="false" customHeight="true" outlineLevel="0" collapsed="false">
      <c r="A243" s="83" t="s">
        <v>400</v>
      </c>
      <c r="B243" s="83" t="s">
        <v>200</v>
      </c>
    </row>
    <row r="244" customFormat="false" ht="15" hidden="false" customHeight="true" outlineLevel="0" collapsed="false">
      <c r="A244" s="83" t="s">
        <v>401</v>
      </c>
      <c r="B244" s="83" t="s">
        <v>146</v>
      </c>
    </row>
    <row r="245" customFormat="false" ht="15" hidden="false" customHeight="true" outlineLevel="0" collapsed="false">
      <c r="A245" s="83" t="s">
        <v>402</v>
      </c>
      <c r="B245" s="83" t="s">
        <v>202</v>
      </c>
    </row>
    <row r="246" customFormat="false" ht="15" hidden="false" customHeight="true" outlineLevel="0" collapsed="false">
      <c r="A246" s="83" t="s">
        <v>403</v>
      </c>
      <c r="B246" s="83" t="s">
        <v>202</v>
      </c>
    </row>
    <row r="247" customFormat="false" ht="15" hidden="false" customHeight="true" outlineLevel="0" collapsed="false">
      <c r="A247" s="83" t="s">
        <v>404</v>
      </c>
      <c r="B247" s="83" t="s">
        <v>200</v>
      </c>
    </row>
    <row r="248" customFormat="false" ht="15" hidden="false" customHeight="true" outlineLevel="0" collapsed="false">
      <c r="A248" s="83" t="s">
        <v>405</v>
      </c>
      <c r="B248" s="83" t="s">
        <v>202</v>
      </c>
    </row>
    <row r="249" customFormat="false" ht="15" hidden="false" customHeight="true" outlineLevel="0" collapsed="false">
      <c r="A249" s="83" t="s">
        <v>406</v>
      </c>
      <c r="B249" s="83" t="s">
        <v>156</v>
      </c>
    </row>
    <row r="250" customFormat="false" ht="15" hidden="false" customHeight="true" outlineLevel="0" collapsed="false">
      <c r="A250" s="83" t="s">
        <v>407</v>
      </c>
      <c r="B250" s="83" t="s">
        <v>146</v>
      </c>
    </row>
    <row r="251" customFormat="false" ht="15" hidden="false" customHeight="true" outlineLevel="0" collapsed="false">
      <c r="A251" s="83" t="s">
        <v>408</v>
      </c>
      <c r="B251" s="83" t="s">
        <v>161</v>
      </c>
    </row>
    <row r="252" customFormat="false" ht="15" hidden="false" customHeight="true" outlineLevel="0" collapsed="false">
      <c r="A252" s="83" t="s">
        <v>409</v>
      </c>
      <c r="B252" s="83" t="s">
        <v>156</v>
      </c>
    </row>
    <row r="253" customFormat="false" ht="15" hidden="false" customHeight="true" outlineLevel="0" collapsed="false">
      <c r="A253" s="83" t="s">
        <v>410</v>
      </c>
      <c r="B253" s="83" t="s">
        <v>202</v>
      </c>
    </row>
    <row r="254" customFormat="false" ht="15" hidden="false" customHeight="true" outlineLevel="0" collapsed="false">
      <c r="A254" s="83" t="s">
        <v>411</v>
      </c>
      <c r="B254" s="83" t="s">
        <v>146</v>
      </c>
    </row>
    <row r="255" customFormat="false" ht="15" hidden="false" customHeight="true" outlineLevel="0" collapsed="false">
      <c r="A255" s="83" t="s">
        <v>412</v>
      </c>
      <c r="B255" s="83" t="s">
        <v>200</v>
      </c>
    </row>
    <row r="256" customFormat="false" ht="15" hidden="false" customHeight="true" outlineLevel="0" collapsed="false">
      <c r="A256" s="83" t="s">
        <v>413</v>
      </c>
      <c r="B256" s="83" t="s">
        <v>146</v>
      </c>
    </row>
    <row r="257" customFormat="false" ht="15" hidden="false" customHeight="true" outlineLevel="0" collapsed="false">
      <c r="A257" s="83" t="s">
        <v>414</v>
      </c>
      <c r="B257" s="83" t="s">
        <v>200</v>
      </c>
    </row>
    <row r="258" customFormat="false" ht="15" hidden="false" customHeight="true" outlineLevel="0" collapsed="false">
      <c r="A258" s="83" t="s">
        <v>415</v>
      </c>
      <c r="B258" s="83" t="s">
        <v>146</v>
      </c>
    </row>
    <row r="259" customFormat="false" ht="15" hidden="false" customHeight="true" outlineLevel="0" collapsed="false">
      <c r="A259" s="83" t="s">
        <v>416</v>
      </c>
      <c r="B259" s="83" t="s">
        <v>202</v>
      </c>
    </row>
    <row r="260" customFormat="false" ht="15" hidden="false" customHeight="true" outlineLevel="0" collapsed="false">
      <c r="A260" s="83" t="s">
        <v>417</v>
      </c>
      <c r="B260" s="83" t="s">
        <v>146</v>
      </c>
    </row>
    <row r="261" customFormat="false" ht="15" hidden="false" customHeight="true" outlineLevel="0" collapsed="false">
      <c r="A261" s="83" t="s">
        <v>418</v>
      </c>
      <c r="B261" s="83" t="s">
        <v>202</v>
      </c>
    </row>
    <row r="262" customFormat="false" ht="15" hidden="false" customHeight="true" outlineLevel="0" collapsed="false">
      <c r="A262" s="83" t="s">
        <v>419</v>
      </c>
      <c r="B262" s="83" t="s">
        <v>200</v>
      </c>
    </row>
    <row r="263" customFormat="false" ht="15" hidden="false" customHeight="true" outlineLevel="0" collapsed="false">
      <c r="A263" s="83" t="s">
        <v>420</v>
      </c>
      <c r="B263" s="83" t="s">
        <v>202</v>
      </c>
    </row>
    <row r="264" customFormat="false" ht="15" hidden="false" customHeight="true" outlineLevel="0" collapsed="false">
      <c r="A264" s="83" t="s">
        <v>421</v>
      </c>
      <c r="B264" s="83" t="s">
        <v>200</v>
      </c>
    </row>
    <row r="265" customFormat="false" ht="15" hidden="false" customHeight="true" outlineLevel="0" collapsed="false">
      <c r="A265" s="83" t="s">
        <v>422</v>
      </c>
      <c r="B265" s="83" t="s">
        <v>156</v>
      </c>
    </row>
    <row r="266" customFormat="false" ht="15" hidden="false" customHeight="true" outlineLevel="0" collapsed="false">
      <c r="A266" s="83" t="s">
        <v>423</v>
      </c>
      <c r="B266" s="83" t="s">
        <v>156</v>
      </c>
    </row>
    <row r="267" customFormat="false" ht="15" hidden="false" customHeight="true" outlineLevel="0" collapsed="false">
      <c r="A267" s="83" t="s">
        <v>424</v>
      </c>
      <c r="B267" s="83" t="s">
        <v>146</v>
      </c>
    </row>
    <row r="268" customFormat="false" ht="15" hidden="false" customHeight="true" outlineLevel="0" collapsed="false">
      <c r="A268" s="83" t="s">
        <v>425</v>
      </c>
      <c r="B268" s="83" t="s">
        <v>202</v>
      </c>
    </row>
    <row r="269" customFormat="false" ht="15" hidden="false" customHeight="true" outlineLevel="0" collapsed="false">
      <c r="A269" s="83" t="s">
        <v>426</v>
      </c>
      <c r="B269" s="83" t="s">
        <v>146</v>
      </c>
    </row>
    <row r="270" customFormat="false" ht="15" hidden="false" customHeight="true" outlineLevel="0" collapsed="false">
      <c r="A270" s="83" t="s">
        <v>427</v>
      </c>
      <c r="B270" s="83" t="s">
        <v>206</v>
      </c>
    </row>
    <row r="271" customFormat="false" ht="15" hidden="false" customHeight="true" outlineLevel="0" collapsed="false">
      <c r="A271" s="83" t="s">
        <v>428</v>
      </c>
      <c r="B271" s="83" t="s">
        <v>206</v>
      </c>
    </row>
    <row r="272" customFormat="false" ht="15" hidden="false" customHeight="true" outlineLevel="0" collapsed="false">
      <c r="A272" s="83" t="s">
        <v>429</v>
      </c>
      <c r="B272" s="83" t="s">
        <v>206</v>
      </c>
    </row>
    <row r="273" customFormat="false" ht="15" hidden="false" customHeight="true" outlineLevel="0" collapsed="false">
      <c r="A273" s="83" t="s">
        <v>430</v>
      </c>
      <c r="B273" s="83" t="s">
        <v>206</v>
      </c>
    </row>
    <row r="274" customFormat="false" ht="15" hidden="false" customHeight="true" outlineLevel="0" collapsed="false">
      <c r="A274" s="83" t="s">
        <v>431</v>
      </c>
      <c r="B274" s="83" t="s">
        <v>156</v>
      </c>
    </row>
    <row r="275" customFormat="false" ht="15" hidden="false" customHeight="true" outlineLevel="0" collapsed="false">
      <c r="A275" s="83" t="s">
        <v>432</v>
      </c>
      <c r="B275" s="83" t="s">
        <v>156</v>
      </c>
    </row>
    <row r="276" customFormat="false" ht="15" hidden="false" customHeight="true" outlineLevel="0" collapsed="false">
      <c r="A276" s="83" t="s">
        <v>433</v>
      </c>
      <c r="B276" s="83" t="s">
        <v>175</v>
      </c>
    </row>
    <row r="277" customFormat="false" ht="15" hidden="false" customHeight="true" outlineLevel="0" collapsed="false">
      <c r="A277" s="83" t="s">
        <v>434</v>
      </c>
      <c r="B277" s="83" t="s">
        <v>156</v>
      </c>
    </row>
    <row r="278" customFormat="false" ht="15" hidden="false" customHeight="true" outlineLevel="0" collapsed="false">
      <c r="A278" s="83" t="s">
        <v>435</v>
      </c>
      <c r="B278" s="83" t="s">
        <v>175</v>
      </c>
    </row>
    <row r="279" customFormat="false" ht="15" hidden="false" customHeight="true" outlineLevel="0" collapsed="false">
      <c r="A279" s="83" t="s">
        <v>436</v>
      </c>
      <c r="B279" s="83" t="s">
        <v>202</v>
      </c>
    </row>
    <row r="280" customFormat="false" ht="15" hidden="false" customHeight="true" outlineLevel="0" collapsed="false">
      <c r="A280" s="83" t="s">
        <v>437</v>
      </c>
      <c r="B280" s="83" t="s">
        <v>146</v>
      </c>
    </row>
    <row r="281" customFormat="false" ht="15" hidden="false" customHeight="true" outlineLevel="0" collapsed="false">
      <c r="A281" s="83" t="s">
        <v>438</v>
      </c>
      <c r="B281" s="83" t="s">
        <v>175</v>
      </c>
    </row>
    <row r="282" customFormat="false" ht="15" hidden="false" customHeight="true" outlineLevel="0" collapsed="false">
      <c r="A282" s="83" t="s">
        <v>439</v>
      </c>
      <c r="B282" s="83" t="s">
        <v>200</v>
      </c>
    </row>
    <row r="283" customFormat="false" ht="15" hidden="false" customHeight="true" outlineLevel="0" collapsed="false">
      <c r="A283" s="83" t="s">
        <v>440</v>
      </c>
      <c r="B283" s="83" t="s">
        <v>200</v>
      </c>
    </row>
    <row r="284" customFormat="false" ht="15" hidden="false" customHeight="true" outlineLevel="0" collapsed="false">
      <c r="A284" s="83" t="s">
        <v>441</v>
      </c>
      <c r="B284" s="83" t="s">
        <v>200</v>
      </c>
    </row>
    <row r="285" customFormat="false" ht="15" hidden="false" customHeight="true" outlineLevel="0" collapsed="false">
      <c r="A285" s="83" t="s">
        <v>442</v>
      </c>
      <c r="B285" s="83" t="s">
        <v>161</v>
      </c>
    </row>
    <row r="286" customFormat="false" ht="15" hidden="false" customHeight="true" outlineLevel="0" collapsed="false">
      <c r="A286" s="83" t="s">
        <v>443</v>
      </c>
      <c r="B286" s="83" t="s">
        <v>161</v>
      </c>
    </row>
    <row r="287" customFormat="false" ht="15" hidden="false" customHeight="true" outlineLevel="0" collapsed="false">
      <c r="A287" s="83" t="s">
        <v>444</v>
      </c>
      <c r="B287" s="83" t="s">
        <v>161</v>
      </c>
    </row>
    <row r="288" customFormat="false" ht="15" hidden="false" customHeight="true" outlineLevel="0" collapsed="false">
      <c r="A288" s="83" t="s">
        <v>445</v>
      </c>
      <c r="B288" s="83" t="s">
        <v>200</v>
      </c>
    </row>
    <row r="289" customFormat="false" ht="15" hidden="false" customHeight="true" outlineLevel="0" collapsed="false">
      <c r="A289" s="83" t="s">
        <v>446</v>
      </c>
      <c r="B289" s="83" t="s">
        <v>200</v>
      </c>
    </row>
    <row r="290" customFormat="false" ht="15" hidden="false" customHeight="true" outlineLevel="0" collapsed="false">
      <c r="A290" s="83" t="s">
        <v>447</v>
      </c>
      <c r="B290" s="83" t="s">
        <v>156</v>
      </c>
    </row>
    <row r="291" customFormat="false" ht="15" hidden="false" customHeight="true" outlineLevel="0" collapsed="false">
      <c r="A291" s="83" t="s">
        <v>448</v>
      </c>
      <c r="B291" s="83" t="s">
        <v>161</v>
      </c>
    </row>
    <row r="292" customFormat="false" ht="15" hidden="false" customHeight="true" outlineLevel="0" collapsed="false">
      <c r="A292" s="83" t="s">
        <v>449</v>
      </c>
      <c r="B292" s="83" t="s">
        <v>146</v>
      </c>
    </row>
    <row r="293" customFormat="false" ht="15" hidden="false" customHeight="true" outlineLevel="0" collapsed="false">
      <c r="A293" s="83" t="s">
        <v>450</v>
      </c>
      <c r="B293" s="83" t="s">
        <v>175</v>
      </c>
    </row>
    <row r="294" customFormat="false" ht="15" hidden="false" customHeight="true" outlineLevel="0" collapsed="false">
      <c r="A294" s="83" t="s">
        <v>451</v>
      </c>
      <c r="B294" s="83" t="s">
        <v>202</v>
      </c>
    </row>
    <row r="295" customFormat="false" ht="15" hidden="false" customHeight="true" outlineLevel="0" collapsed="false">
      <c r="A295" s="83" t="s">
        <v>452</v>
      </c>
      <c r="B295" s="83" t="s">
        <v>202</v>
      </c>
    </row>
    <row r="296" customFormat="false" ht="15" hidden="false" customHeight="true" outlineLevel="0" collapsed="false">
      <c r="A296" s="83" t="s">
        <v>453</v>
      </c>
      <c r="B296" s="83" t="s">
        <v>146</v>
      </c>
    </row>
    <row r="297" customFormat="false" ht="15" hidden="false" customHeight="true" outlineLevel="0" collapsed="false">
      <c r="A297" s="83" t="s">
        <v>454</v>
      </c>
      <c r="B297" s="83" t="s">
        <v>202</v>
      </c>
    </row>
    <row r="298" customFormat="false" ht="15" hidden="false" customHeight="true" outlineLevel="0" collapsed="false">
      <c r="A298" s="83" t="s">
        <v>455</v>
      </c>
      <c r="B298" s="83" t="s">
        <v>208</v>
      </c>
    </row>
    <row r="299" customFormat="false" ht="15" hidden="false" customHeight="true" outlineLevel="0" collapsed="false">
      <c r="A299" s="83" t="s">
        <v>456</v>
      </c>
      <c r="B299" s="83" t="s">
        <v>200</v>
      </c>
    </row>
    <row r="300" customFormat="false" ht="15" hidden="false" customHeight="true" outlineLevel="0" collapsed="false">
      <c r="A300" s="83" t="s">
        <v>457</v>
      </c>
      <c r="B300" s="83" t="s">
        <v>146</v>
      </c>
    </row>
    <row r="301" customFormat="false" ht="15" hidden="false" customHeight="true" outlineLevel="0" collapsed="false">
      <c r="A301" s="83" t="s">
        <v>458</v>
      </c>
      <c r="B301" s="83" t="s">
        <v>204</v>
      </c>
    </row>
    <row r="302" customFormat="false" ht="15" hidden="false" customHeight="true" outlineLevel="0" collapsed="false">
      <c r="A302" s="83" t="s">
        <v>459</v>
      </c>
      <c r="B302" s="83" t="s">
        <v>175</v>
      </c>
    </row>
    <row r="303" customFormat="false" ht="15" hidden="false" customHeight="true" outlineLevel="0" collapsed="false">
      <c r="A303" s="83" t="s">
        <v>460</v>
      </c>
      <c r="B303" s="83" t="s">
        <v>202</v>
      </c>
    </row>
    <row r="304" customFormat="false" ht="15" hidden="false" customHeight="true" outlineLevel="0" collapsed="false">
      <c r="A304" s="83" t="s">
        <v>461</v>
      </c>
      <c r="B304" s="83" t="s">
        <v>202</v>
      </c>
    </row>
    <row r="305" customFormat="false" ht="15" hidden="false" customHeight="true" outlineLevel="0" collapsed="false">
      <c r="A305" s="83" t="s">
        <v>462</v>
      </c>
      <c r="B305" s="83" t="s">
        <v>156</v>
      </c>
    </row>
    <row r="306" customFormat="false" ht="15" hidden="false" customHeight="true" outlineLevel="0" collapsed="false">
      <c r="A306" s="83" t="s">
        <v>463</v>
      </c>
      <c r="B306" s="83" t="s">
        <v>156</v>
      </c>
    </row>
    <row r="307" customFormat="false" ht="15" hidden="false" customHeight="true" outlineLevel="0" collapsed="false">
      <c r="A307" s="83" t="s">
        <v>464</v>
      </c>
      <c r="B307" s="83" t="s">
        <v>200</v>
      </c>
    </row>
    <row r="308" customFormat="false" ht="15" hidden="false" customHeight="true" outlineLevel="0" collapsed="false">
      <c r="A308" s="83" t="s">
        <v>465</v>
      </c>
      <c r="B308" s="83" t="s">
        <v>200</v>
      </c>
    </row>
    <row r="309" customFormat="false" ht="15" hidden="false" customHeight="true" outlineLevel="0" collapsed="false">
      <c r="A309" s="83" t="s">
        <v>466</v>
      </c>
      <c r="B309" s="83" t="s">
        <v>202</v>
      </c>
    </row>
    <row r="310" customFormat="false" ht="15" hidden="false" customHeight="true" outlineLevel="0" collapsed="false">
      <c r="A310" s="83" t="s">
        <v>467</v>
      </c>
      <c r="B310" s="83" t="s">
        <v>156</v>
      </c>
    </row>
    <row r="311" customFormat="false" ht="15" hidden="false" customHeight="true" outlineLevel="0" collapsed="false">
      <c r="A311" s="83" t="s">
        <v>468</v>
      </c>
      <c r="B311" s="83" t="s">
        <v>200</v>
      </c>
    </row>
    <row r="312" customFormat="false" ht="15" hidden="false" customHeight="true" outlineLevel="0" collapsed="false">
      <c r="A312" s="83" t="s">
        <v>469</v>
      </c>
      <c r="B312" s="83" t="s">
        <v>200</v>
      </c>
    </row>
    <row r="313" customFormat="false" ht="15" hidden="false" customHeight="true" outlineLevel="0" collapsed="false">
      <c r="A313" s="83" t="s">
        <v>470</v>
      </c>
      <c r="B313" s="83" t="s">
        <v>202</v>
      </c>
    </row>
    <row r="314" customFormat="false" ht="15" hidden="false" customHeight="true" outlineLevel="0" collapsed="false">
      <c r="A314" s="83" t="s">
        <v>471</v>
      </c>
      <c r="B314" s="83"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2026-09-03T13:01:34Z</dcterms:created>
  <dc:creator>openpyxl</dc:creator>
  <dc:description/>
  <dc:language>en-US</dc:language>
  <cp:lastModifiedBy/>
  <dcterms:modified xsi:type="dcterms:W3CDTF">2026-09-13T11:52:52Z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